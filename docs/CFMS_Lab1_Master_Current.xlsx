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8a1c4df054045ad" /></Relationships>
</file>

<file path=xl/workbook.xml><?xml version="1.0" encoding="utf-8"?>
<x:workbook xmlns:x="http://schemas.openxmlformats.org/spreadsheetml/2006/main">
  <x:sheets>
    <x:sheet xmlns:r="http://schemas.openxmlformats.org/officeDocument/2006/relationships" name="Cover" sheetId="1" r:id="R835faaf8caba4953"/>
    <x:sheet xmlns:r="http://schemas.openxmlformats.org/officeDocument/2006/relationships" name="Test case List" sheetId="2" r:id="Raa9b68ee171c4c1a"/>
    <x:sheet xmlns:r="http://schemas.openxmlformats.org/officeDocument/2006/relationships" name="Module1" sheetId="3" r:id="R0e962d35cc664b84"/>
    <x:sheet xmlns:r="http://schemas.openxmlformats.org/officeDocument/2006/relationships" name="Module2" sheetId="4" r:id="R1718ba65b7f446f3"/>
    <x:sheet xmlns:r="http://schemas.openxmlformats.org/officeDocument/2006/relationships" name="Test Report" sheetId="5" r:id="Rd18b821b098f4ff8"/>
    <x:sheet xmlns:r="http://schemas.openxmlformats.org/officeDocument/2006/relationships" name="Module3" sheetId="6" r:id="Ree41f535e8c14722"/>
    <x:sheet xmlns:r="http://schemas.openxmlformats.org/officeDocument/2006/relationships" name="Module4" sheetId="7" r:id="R30a34f2b0db44172"/>
    <x:sheet xmlns:r="http://schemas.openxmlformats.org/officeDocument/2006/relationships" name="Module5" sheetId="8" r:id="R16650bb4d1fd448a"/>
  </x:sheets>
  <x:definedNames>
    <x:definedName name="ACTION" hidden="0" function="0" vbProcedure="0">#REF!</x:definedName>
  </x:definedNames>
</x:workbook>
</file>

<file path=xl/comments1.xml><?xml version="1.0" encoding="utf-8"?>
<x:comments xmlns:x="http://schemas.openxmlformats.org/spreadsheetml/2006/main">
  <x:authors>
    <x:author>Unknown Author</x:author>
  </x:authors>
  <x:commentList>
    <x:comment ref="E11" authorId="0">
      <x:text>
        <x:r>
          <x:t>*A: Add
  M: Modify
  D: Delete
</x:t>
        </x:r>
      </x:text>
    </x:comment>
  </x:commentList>
</x:comments>
</file>

<file path=xl/comments2.xml><?xml version="1.0" encoding="utf-8"?>
<x:comments xmlns:x="http://schemas.openxmlformats.org/spreadsheetml/2006/main">
  <x:authors>
    <x:author>Unknown Author</x:author>
  </x:authors>
  <x:commentList>
    <x:comment ref="F8" authorId="0">
      <x:text>
        <x:r>
          <x:t>Pass
Fail
Untested
N/A
</x:t>
        </x:r>
      </x:text>
    </x:comment>
  </x:commentList>
</x:comments>
</file>

<file path=xl/comments3.xml><?xml version="1.0" encoding="utf-8"?>
<x:comments xmlns:x="http://schemas.openxmlformats.org/spreadsheetml/2006/main">
  <x:authors>
    <x:author>Unknown Author</x:author>
  </x:authors>
  <x:commentList>
    <x:comment ref="F8" authorId="0">
      <x:text>
        <x:r>
          <x:t>Pass
Fail
Untested
N/A
</x:t>
        </x:r>
      </x:text>
    </x:comment>
  </x:commentList>
</x:comments>
</file>

<file path=xl/sharedStrings.xml><?xml version="1.0" encoding="utf-8"?>
<x:sst xmlns:x="http://schemas.openxmlformats.org/spreadsheetml/2006/main">
  <x:si>
    <x:t xml:space="preserve">TEST CASE</x:t>
  </x:si>
  <x:si>
    <x:t xml:space="preserve">Project Name</x:t>
  </x:si>
  <x:si>
    <x:t xml:space="preserve">&lt;Project Name&gt;</x:t>
  </x:si>
  <x:si>
    <x:t xml:space="preserve">Creator</x:t>
  </x:si>
  <x:si>
    <x:t xml:space="preserve">Project Code</x:t>
  </x:si>
  <x:si>
    <x:t xml:space="preserve">&lt;Project Code&gt;</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</x:si>
  <x:si>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</x:si>
  <x:si>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</x:si>
  <x:si>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</x:si>
  <x:si>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</x:si>
  <x:si>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</x:si>
  <x:si>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</x:si>
  <x:si>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</x:si>
  <x:si>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</x:si>
  <x:si>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</x:si>
  <x:si>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</x:si>
  <x:si>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&lt;Date when these changes are effective&gt;</x:t>
  </x:si>
  <x:si>
    <x:t xml:space="preserve">&lt;List of documents which are referred in this version.&gt;</x:t>
  </x:si>
</x:sst>
</file>

<file path=xl/styles.xml><?xml version="1.0" encoding="utf-8"?>
<x:styleSheet xmlns:x="http://schemas.openxmlformats.org/spreadsheetml/2006/main">
  <x:numFmts count="9">
    <x:numFmt numFmtId="164" formatCode="General"/>
    <x:numFmt numFmtId="165" formatCode="d\-mmm\-yy;@"/>
    <x:numFmt numFmtId="166" formatCode="@"/>
    <x:numFmt numFmtId="167" formatCode="[$-409]d\-mmm\-yy"/>
    <x:numFmt numFmtId="168" formatCode="0"/>
    <x:numFmt numFmtId="169" formatCode="0.00%"/>
    <x:numFmt numFmtId="170" formatCode="0%"/>
    <x:numFmt numFmtId="171" formatCode="0.00"/>
    <x:numFmt numFmtId="200" formatCode="dd/mm/yyyy"/>
  </x:numFmts>
  <x:fonts count="26">
    <x:font>
      <x:sz val="11"/>
      <x:name val="ＭＳ Ｐゴシック"/>
    </x:font>
    <x:font>
      <x:sz val="10"/>
      <x:name val="Arial"/>
    </x:font>
    <x:font>
      <x:sz val="10"/>
      <x:name val="Arial"/>
    </x:font>
    <x:font>
      <x:sz val="10"/>
      <x:name val="Arial"/>
    </x:font>
    <x:font>
      <x:sz val="9"/>
      <x:name val="ＭＳ ゴシック"/>
    </x:font>
    <x:font>
      <x:sz val="10"/>
      <x:name val="Tahoma"/>
    </x:font>
    <x:font>
      <x:b/>
      <x:sz val="22"/>
      <x:color rgb="FFFF0000"/>
      <x:name val="Tahoma"/>
    </x:font>
    <x:font>
      <x:b/>
      <x:sz val="26"/>
      <x:color rgb="FFFF0000"/>
      <x:name val="Tahoma"/>
    </x:font>
    <x:font>
      <x:b/>
      <x:sz val="20"/>
      <x:color rgb="FF000000"/>
      <x:name val="Tahoma"/>
    </x:font>
    <x:font>
      <x:b/>
      <x:sz val="10"/>
      <x:color rgb="FF993300"/>
      <x:name val="Tahoma"/>
    </x:font>
    <x:font>
      <x:i/>
      <x:sz val="10"/>
      <x:color rgb="FF008000"/>
      <x:name val="Tahoma"/>
    </x:font>
    <x:font>
      <x:b/>
      <x:sz val="10"/>
      <x:color rgb="FFFFFFFF"/>
      <x:name val="Tahoma"/>
    </x:font>
    <x:font>
      <x:b/>
      <x:sz val="10"/>
      <x:color rgb="FF000000"/>
      <x:name val="Times New Roman"/>
    </x:font>
    <x:font>
      <x:sz val="10"/>
      <x:color rgb="FF000000"/>
      <x:name val="Times New Roman"/>
    </x:font>
    <x:font>
      <x:b/>
      <x:sz val="10"/>
      <x:color rgb="FF000000"/>
      <x:name val="Tahoma"/>
    </x:font>
    <x:font>
      <x:b/>
      <x:sz val="10"/>
      <x:color rgb="FFFF0000"/>
      <x:name val="Tahoma"/>
    </x:font>
    <x:font>
      <x:sz val="10"/>
      <x:color rgb="FF0000FF"/>
      <x:name val="Tahoma"/>
    </x:font>
    <x:font>
      <x:sz val="11"/>
      <x:color rgb="FF0000FF"/>
      <x:name val="ＭＳ Ｐゴシック"/>
    </x:font>
    <x:font>
      <x:sz val="10"/>
      <x:color rgb="FFFF0000"/>
      <x:name val="Tahoma"/>
    </x:font>
    <x:font>
      <x:sz val="10"/>
      <x:color rgb="FF000000"/>
      <x:name val="Tahoma"/>
    </x:font>
    <x:font>
      <x:b/>
      <x:sz val="10"/>
      <x:name val="Tahoma"/>
    </x:font>
    <x:font>
      <x:b/>
      <x:sz val="8"/>
      <x:color rgb="FF000000"/>
      <x:name val="Times New Roman"/>
    </x:font>
    <x:font>
      <x:sz val="10"/>
      <x:color rgb="FFFFFFFF"/>
      <x:name val="Tahoma"/>
    </x:font>
    <x:font>
      <x:b/>
      <x:sz val="10"/>
      <x:color rgb="FF0000FF"/>
      <x:name val="Tahoma"/>
    </x:font>
    <x:font>
      <x:b/>
      <x:sz val="11"/>
      <x:name val="ＭＳ Ｐゴシック"/>
    </x:font>
    <x:font>
      <x:b/>
      <x:sz val="11"/>
      <x:color rgb="FFFFFFFF"/>
      <x:name val="ＭＳ Ｐゴシック"/>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CCFFFF"/>
      </x:patternFill>
    </x:fill>
    <x:fill>
      <x:patternFill patternType="solid">
        <x:fgColor rgb="FF000099"/>
      </x:patternFill>
    </x:fill>
    <x:fill>
      <x:patternFill patternType="solid">
        <x:fgColor rgb="FFCCFFFF"/>
      </x:patternFill>
    </x:fill>
  </x:fills>
  <x:borders count="70">
    <x:border diagonalUp="0" diagonalDown="0"/>
    <x:border diagonalUp="0" diagonalDown="0">
      <x:left style="thin"/>
      <x:top style="thin"/>
      <x:bottom style="thin"/>
    </x:border>
    <x:border diagonalUp="0" diagonalDown="0">
      <x:left style="thin"/>
      <x:right style="thin"/>
      <x:top style="thin"/>
      <x:bottom style="thin"/>
    </x:border>
    <x:border diagonalUp="0" diagonalDown="0">
      <x:right style="thin"/>
      <x:top style="thin"/>
      <x:bottom style="thin"/>
    </x:border>
    <x:border diagonalUp="0" diagonalDown="0">
      <x:left style="thin"/>
      <x:right style="hair"/>
      <x:top style="thin"/>
      <x:bottom style="hair"/>
    </x:border>
    <x:border diagonalUp="0" diagonalDown="0">
      <x:left style="hair"/>
      <x:right style="hair"/>
      <x:top style="thin"/>
      <x:bottom style="hair"/>
    </x:border>
    <x:border diagonalUp="0" diagonalDown="0">
      <x:left style="hair"/>
      <x:right style="thin"/>
      <x:top style="thin"/>
      <x:bottom style="hair"/>
    </x:border>
    <x:border diagonalUp="0" diagonalDown="0">
      <x:left style="thin"/>
      <x:right style="hair"/>
      <x:top style="hair"/>
      <x:bottom style="hair"/>
    </x:border>
    <x:border diagonalUp="0" diagonalDown="0">
      <x:left style="hair"/>
      <x:right style="hair"/>
      <x:top style="hair"/>
      <x:bottom style="hair"/>
    </x:border>
    <x:border diagonalUp="0" diagonalDown="0">
      <x:left style="hair"/>
      <x:right style="thin"/>
      <x:top style="hair"/>
      <x:bottom style="hair"/>
    </x:border>
    <x:border diagonalUp="0" diagonalDown="0">
      <x:left style="thin"/>
      <x:right style="hair"/>
      <x:top style="hair"/>
      <x:bottom style="thin"/>
    </x:border>
    <x:border diagonalUp="0" diagonalDown="0">
      <x:left style="hair"/>
      <x:right style="hair"/>
      <x:top style="hair"/>
      <x:bottom style="thin"/>
    </x:border>
    <x:border diagonalUp="0" diagonalDown="0">
      <x:left style="hair"/>
      <x:right style="thin"/>
      <x:top style="hair"/>
      <x:bottom style="thin"/>
    </x:border>
    <x:border diagonalUp="0" diagonalDown="0">
      <x:left style="hair"/>
      <x:top style="thin"/>
      <x:bottom style="hair"/>
    </x:border>
    <x:border diagonalUp="0" diagonalDown="0">
      <x:bottom style="medium"/>
    </x:border>
    <x:border diagonalUp="0" diagonalDown="0">
      <x:left style="medium"/>
      <x:right style="thin"/>
      <x:bottom style="thin"/>
    </x:border>
    <x:border diagonalUp="0" diagonalDown="0">
      <x:left style="thin"/>
      <x:right style="medium"/>
      <x:top style="thin"/>
      <x:bottom style="thin"/>
    </x:border>
    <x:border diagonalUp="0" diagonalDown="0">
      <x:left style="medium"/>
      <x:right style="thin"/>
      <x:top style="thin"/>
      <x:bottom style="thin"/>
    </x:border>
    <x:border diagonalUp="0" diagonalDown="0">
      <x:left style="thin"/>
      <x:right style="medium"/>
      <x:bottom style="thin"/>
    </x:border>
    <x:border diagonalUp="0" diagonalDown="0">
      <x:left style="medium"/>
      <x:right style="thin"/>
      <x:top style="thin"/>
      <x:bottom style="medium"/>
    </x:border>
    <x:border diagonalUp="0" diagonalDown="0">
      <x:left style="thin"/>
      <x:right style="thin"/>
      <x:top style="thin"/>
      <x:bottom style="medium"/>
    </x:border>
    <x:border diagonalUp="0" diagonalDown="0">
      <x:right style="thin"/>
      <x:top style="thin"/>
      <x:bottom style="medium"/>
    </x:border>
    <x:border diagonalUp="0" diagonalDown="0">
      <x:left style="thin"/>
      <x:right style="medium"/>
      <x:top style="thin"/>
      <x:bottom style="medium"/>
    </x:border>
    <x:border diagonalUp="0" diagonalDown="0">
      <x:left style="thin"/>
      <x:right style="thin"/>
      <x:top style="thin"/>
    </x:border>
    <x:border diagonalUp="0" diagonalDown="0">
      <x:top style="thin"/>
      <x:bottom style="thin"/>
    </x:border>
    <x:border diagonalUp="0" diagonalDown="0">
      <x:left style="medium"/>
      <x:top style="thin"/>
      <x:bottom style="medium"/>
    </x:border>
    <x:border diagonalUp="0" diagonalDown="0">
      <x:top style="thin"/>
    </x:border>
    <x:border diagonalUp="0" diagonalDown="0">
      <x:right style="medium"/>
    </x:border>
    <x:border diagonalUp="0" diagonalDown="0">
      <x:right style="hair"/>
      <x:top style="thin"/>
      <x:bottom style="hair"/>
    </x:border>
    <x:border diagonalUp="0" diagonalDown="0">
      <x:left style="hair"/>
      <x:right style="medium"/>
      <x:top style="thin"/>
      <x:bottom style="hair"/>
    </x:border>
    <x:border diagonalUp="0" diagonalDown="0">
      <x:right style="hair"/>
      <x:top style="hair"/>
      <x:bottom style="hair"/>
    </x:border>
    <x:border diagonalUp="0" diagonalDown="0">
      <x:left style="hair"/>
      <x:top style="hair"/>
      <x:bottom style="hair"/>
    </x:border>
    <x:border diagonalUp="0" diagonalDown="0">
      <x:left style="hair"/>
      <x:right style="medium"/>
      <x:top style="hair"/>
      <x:bottom style="hair"/>
    </x:border>
    <x:border diagonalUp="0" diagonalDown="0">
      <x:right style="hair"/>
      <x:top style="hair"/>
      <x:bottom style="thin"/>
    </x:border>
    <x:border diagonalUp="0" diagonalDown="0">
      <x:left style="hair"/>
      <x:right style="medium"/>
      <x:top style="hair"/>
      <x:bottom style="thin"/>
    </x:border>
    <x:border diagonalUp="0" diagonalDown="0"/>
    <x:border diagonalUp="0" diagonalDown="0">
      <x:left style="thin"/>
      <x:top style="thin"/>
      <x:bottom style="thin"/>
    </x:border>
    <x:border diagonalUp="0" diagonalDown="0">
      <x:left style="thin"/>
      <x:right style="thin"/>
      <x:top style="thin"/>
      <x:bottom style="thin"/>
    </x:border>
    <x:border diagonalUp="0" diagonalDown="0">
      <x:right style="thin"/>
      <x:top style="thin"/>
      <x:bottom style="thin"/>
    </x:border>
    <x:border diagonalUp="0" diagonalDown="0">
      <x:left style="thin"/>
      <x:right style="hair"/>
      <x:top style="thin"/>
      <x:bottom style="hair"/>
    </x:border>
    <x:border diagonalUp="0" diagonalDown="0">
      <x:left style="hair"/>
      <x:right style="hair"/>
      <x:top style="thin"/>
      <x:bottom style="hair"/>
    </x:border>
    <x:border diagonalUp="0" diagonalDown="0">
      <x:left style="hair"/>
      <x:right style="thin"/>
      <x:top style="thin"/>
      <x:bottom style="hair"/>
    </x:border>
    <x:border diagonalUp="0" diagonalDown="0">
      <x:left style="thin"/>
      <x:right style="hair"/>
      <x:top style="hair"/>
      <x:bottom style="hair"/>
    </x:border>
    <x:border diagonalUp="0" diagonalDown="0">
      <x:left style="hair"/>
      <x:right style="hair"/>
      <x:top style="hair"/>
      <x:bottom style="hair"/>
    </x:border>
    <x:border diagonalUp="0" diagonalDown="0">
      <x:left style="hair"/>
      <x:right style="thin"/>
      <x:top style="hair"/>
      <x:bottom style="hair"/>
    </x:border>
    <x:border diagonalUp="0" diagonalDown="0">
      <x:left style="thin"/>
      <x:right style="hair"/>
      <x:top style="hair"/>
      <x:bottom style="thin"/>
    </x:border>
    <x:border diagonalUp="0" diagonalDown="0">
      <x:left style="hair"/>
      <x:right style="hair"/>
      <x:top style="hair"/>
      <x:bottom style="thin"/>
    </x:border>
    <x:border diagonalUp="0" diagonalDown="0">
      <x:left style="hair"/>
      <x:right style="thin"/>
      <x:top style="hair"/>
      <x:bottom style="thin"/>
    </x:border>
    <x:border diagonalUp="0" diagonalDown="0">
      <x:left style="hair"/>
      <x:top style="thin"/>
      <x:bottom style="hair"/>
    </x:border>
    <x:border diagonalUp="0" diagonalDown="0">
      <x:bottom style="medium"/>
    </x:border>
    <x:border diagonalUp="0" diagonalDown="0">
      <x:left style="medium"/>
      <x:right style="thin"/>
      <x:bottom style="thin"/>
    </x:border>
    <x:border diagonalUp="0" diagonalDown="0">
      <x:left style="thin"/>
      <x:right style="medium"/>
      <x:top style="thin"/>
      <x:bottom style="thin"/>
    </x:border>
    <x:border diagonalUp="0" diagonalDown="0">
      <x:left style="medium"/>
      <x:right style="thin"/>
      <x:top style="thin"/>
      <x:bottom style="thin"/>
    </x:border>
    <x:border diagonalUp="0" diagonalDown="0">
      <x:left style="thin"/>
      <x:right style="medium"/>
      <x:bottom style="thin"/>
    </x:border>
    <x:border diagonalUp="0" diagonalDown="0">
      <x:left style="medium"/>
      <x:right style="thin"/>
      <x:top style="thin"/>
      <x:bottom style="medium"/>
    </x:border>
    <x:border diagonalUp="0" diagonalDown="0">
      <x:left style="thin"/>
      <x:right style="thin"/>
      <x:top style="thin"/>
      <x:bottom style="medium"/>
    </x:border>
    <x:border diagonalUp="0" diagonalDown="0">
      <x:right style="thin"/>
      <x:top style="thin"/>
      <x:bottom style="medium"/>
    </x:border>
    <x:border diagonalUp="0" diagonalDown="0">
      <x:left style="thin"/>
      <x:right style="medium"/>
      <x:top style="thin"/>
      <x:bottom style="medium"/>
    </x:border>
    <x:border diagonalUp="0" diagonalDown="0">
      <x:left style="thin"/>
      <x:right style="thin"/>
      <x:top style="thin"/>
    </x:border>
    <x:border diagonalUp="0" diagonalDown="0">
      <x:top style="thin"/>
      <x:bottom style="thin"/>
    </x:border>
    <x:border diagonalUp="0" diagonalDown="0">
      <x:left style="medium"/>
      <x:top style="thin"/>
      <x:bottom style="medium"/>
    </x:border>
    <x:border diagonalUp="0" diagonalDown="0">
      <x:top style="thin"/>
    </x:border>
    <x:border diagonalUp="0" diagonalDown="0">
      <x:right style="medium"/>
    </x:border>
    <x:border diagonalUp="0" diagonalDown="0">
      <x:right style="hair"/>
      <x:top style="thin"/>
      <x:bottom style="hair"/>
    </x:border>
    <x:border diagonalUp="0" diagonalDown="0">
      <x:left style="hair"/>
      <x:right style="medium"/>
      <x:top style="thin"/>
      <x:bottom style="hair"/>
    </x:border>
    <x:border diagonalUp="0" diagonalDown="0">
      <x:right style="hair"/>
      <x:top style="hair"/>
      <x:bottom style="hair"/>
    </x:border>
    <x:border diagonalUp="0" diagonalDown="0">
      <x:left style="hair"/>
      <x:top style="hair"/>
      <x:bottom style="hair"/>
    </x:border>
    <x:border diagonalUp="0" diagonalDown="0">
      <x:left style="hair"/>
      <x:right style="medium"/>
      <x:top style="hair"/>
      <x:bottom style="hair"/>
    </x:border>
    <x:border diagonalUp="0" diagonalDown="0">
      <x:right style="hair"/>
      <x:top style="hair"/>
      <x:bottom style="thin"/>
    </x:border>
    <x:border diagonalUp="0" diagonalDown="0">
      <x:left style="hair"/>
      <x:right style="medium"/>
      <x:top style="hair"/>
      <x:bottom style="thin"/>
    </x:border>
  </x:borders>
  <x:cellStyleXfs count="24">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17" fillId="0" borderId="0" applyFont="1" applyBorder="0" applyAlignment="0" applyProtection="0"/>
    <x:xf numFmtId="164" fontId="0" fillId="0" borderId="0" applyFont="1" applyBorder="1" applyAlignment="1" applyProtection="1">
      <x:alignment horizontal="general" vertical="bottom" wrapText="0" shrinkToFit="0"/>
    </x:xf>
    <x:xf numFmtId="164" fontId="0" fillId="0" borderId="0" applyFont="1" applyBorder="1" applyAlignment="1" applyProtection="1">
      <x:alignment horizontal="general" vertical="bottom" wrapText="0" shrinkToFit="0"/>
    </x:xf>
    <x:xf numFmtId="164" fontId="4" fillId="0" borderId="0" applyFont="1" applyBorder="1" applyAlignment="1" applyProtection="1">
      <x:alignment horizontal="general" vertical="bottom" wrapText="0" shrinkToFit="0"/>
    </x:xf>
  </x:cellStyleXfs>
  <x:cellXfs count="538">
    <x:xf numFmtId="164" fontId="0" fillId="0" borderId="0" xfId="0" applyFont="0" applyBorder="0" applyAlignment="0">
      <x:alignment horizontal="general" vertical="bottom" wrapText="0"/>
    </x:xf>
    <x:xf numFmtId="164" fontId="5" fillId="0" borderId="0" xfId="0" applyFont="1" applyBorder="0" applyAlignment="0">
      <x:alignment horizontal="general" vertical="bottom" wrapText="0"/>
    </x:xf>
    <x:xf numFmtId="164" fontId="5" fillId="0" borderId="0" xfId="0" applyFont="1" applyBorder="0" applyAlignment="1">
      <x:alignment horizontal="left" vertical="bottom" wrapText="0"/>
    </x:xf>
    <x:xf numFmtId="164" fontId="6" fillId="2" borderId="0" xfId="0" applyFont="1" applyBorder="0" applyAlignment="1">
      <x:alignment horizontal="center" vertical="center" wrapText="0"/>
    </x:xf>
    <x:xf numFmtId="164" fontId="7" fillId="0" borderId="1" xfId="0" applyFont="1" applyBorder="1" applyAlignment="1">
      <x:alignment horizontal="center" vertical="center" wrapText="0"/>
    </x:xf>
    <x:xf numFmtId="164" fontId="8" fillId="0" borderId="2" xfId="0" applyFont="1" applyBorder="1" applyAlignment="1">
      <x:alignment horizontal="center" vertical="center" wrapText="0"/>
    </x:xf>
    <x:xf numFmtId="164" fontId="9" fillId="2" borderId="0" xfId="0" applyFont="1" applyBorder="0" applyAlignment="1">
      <x:alignment horizontal="left" vertical="bottom" wrapText="0"/>
    </x:xf>
    <x:xf numFmtId="164" fontId="10" fillId="0" borderId="0" xfId="0" applyFont="1" applyBorder="0" applyAlignment="1">
      <x:alignment horizontal="left" vertical="bottom" wrapText="0"/>
    </x:xf>
    <x:xf numFmtId="164" fontId="5" fillId="2" borderId="0" xfId="0" applyFont="1" applyBorder="0" applyAlignment="0">
      <x:alignment horizontal="general" vertical="bottom" wrapText="0"/>
    </x:xf>
    <x:xf numFmtId="164" fontId="9" fillId="2" borderId="2" xfId="0" applyFont="1" applyBorder="1" applyAlignment="1">
      <x:alignment horizontal="left" vertical="bottom" wrapText="0"/>
    </x:xf>
    <x:xf numFmtId="164" fontId="10" fillId="0" borderId="2" xfId="0" applyFont="1" applyBorder="1" applyAlignment="1">
      <x:alignment horizontal="left" vertical="bottom" wrapText="0"/>
    </x:xf>
    <x:xf numFmtId="164" fontId="5" fillId="0" borderId="3" xfId="0" applyFont="1" applyBorder="1" applyAlignment="1">
      <x:alignment horizontal="general" vertical="bottom" wrapText="0"/>
    </x:xf>
    <x:xf numFmtId="164" fontId="9" fillId="2" borderId="2" xfId="0" applyFont="1" applyBorder="1" applyAlignment="1">
      <x:alignment horizontal="left" vertical="center" wrapText="0"/>
    </x:xf>
    <x:xf numFmtId="164" fontId="10" fillId="0" borderId="2" xfId="0" applyFont="1" applyBorder="1" applyAlignment="1">
      <x:alignment horizontal="left" vertical="center" wrapText="0"/>
    </x:xf>
    <x:xf numFmtId="164" fontId="10" fillId="0" borderId="3" xfId="0" applyFont="1" applyBorder="1" applyAlignment="1">
      <x:alignment horizontal="left" vertical="bottom" wrapText="0"/>
    </x:xf>
    <x:xf numFmtId="164" fontId="9" fillId="2" borderId="0" xfId="0" applyFont="1" applyBorder="1" applyAlignment="0">
      <x:alignment horizontal="general" vertical="bottom" wrapText="0"/>
    </x:xf>
    <x:xf numFmtId="164" fontId="10" fillId="0" borderId="0" xfId="0" applyFont="1" applyBorder="1" applyAlignment="1">
      <x:alignment horizontal="left" vertical="bottom" wrapText="0"/>
    </x:xf>
    <x:xf numFmtId="164" fontId="5" fillId="0" borderId="0" xfId="0" applyFont="1" applyBorder="1" applyAlignment="1">
      <x:alignment horizontal="general" vertical="bottom" wrapText="0"/>
    </x:xf>
    <x:xf numFmtId="164" fontId="9" fillId="2" borderId="0" xfId="0" applyFont="1" applyBorder="1" applyAlignment="1">
      <x:alignment horizontal="left" vertical="bottom" wrapText="0"/>
    </x:xf>
    <x:xf numFmtId="164" fontId="10" fillId="0" borderId="0" xfId="0" applyFont="1" applyBorder="1" applyAlignment="1">
      <x:alignment horizontal="left" vertical="bottom" wrapText="0"/>
    </x:xf>
    <x:xf numFmtId="164" fontId="5" fillId="0" borderId="0" xfId="0" applyFont="1" applyBorder="1" applyAlignment="1">
      <x:alignment horizontal="left" vertical="bottom" wrapText="0"/>
    </x:xf>
    <x:xf numFmtId="164" fontId="5" fillId="0" borderId="0" xfId="0" applyFont="1" applyBorder="1" applyAlignment="0">
      <x:alignment horizontal="general" vertical="bottom" wrapText="0"/>
    </x:xf>
    <x:xf numFmtId="164" fontId="9" fillId="0" borderId="0" xfId="0" applyFont="1" applyBorder="0" applyAlignment="1">
      <x:alignment horizontal="left" vertical="bottom" wrapText="0"/>
    </x:xf>
    <x:xf numFmtId="165" fontId="11" fillId="3" borderId="4" xfId="0" applyFont="1" applyBorder="1" applyAlignment="1">
      <x:alignment horizontal="center" vertical="center" wrapText="0"/>
    </x:xf>
    <x:xf numFmtId="164" fontId="11" fillId="3" borderId="5" xfId="0" applyFont="1" applyBorder="1" applyAlignment="1">
      <x:alignment horizontal="center" vertical="center" wrapText="0"/>
    </x:xf>
    <x:xf numFmtId="164" fontId="11" fillId="3" borderId="6" xfId="0" applyFont="1" applyBorder="1" applyAlignment="1">
      <x:alignment horizontal="center" vertical="center" wrapText="0"/>
    </x:xf>
    <x:xf numFmtId="164" fontId="10" fillId="0" borderId="7" xfId="0" applyFont="1" applyBorder="1" applyAlignment="1">
      <x:alignment horizontal="general" vertical="top" wrapText="1"/>
    </x:xf>
    <x:xf numFmtId="166" fontId="5" fillId="0" borderId="8" xfId="0" applyFont="1" applyBorder="1" applyAlignment="1">
      <x:alignment horizontal="general" vertical="top" wrapText="0"/>
    </x:xf>
    <x:xf numFmtId="164" fontId="5" fillId="0" borderId="8" xfId="0" applyFont="1" applyBorder="1" applyAlignment="1">
      <x:alignment horizontal="general" vertical="top" wrapText="0"/>
    </x:xf>
    <x:xf numFmtId="167" fontId="5" fillId="0" borderId="8" xfId="0" applyFont="1" applyBorder="1" applyAlignment="1">
      <x:alignment horizontal="general" vertical="top" wrapText="0"/>
    </x:xf>
    <x:xf numFmtId="164" fontId="10" fillId="0" borderId="9" xfId="0" applyFont="1" applyBorder="1" applyAlignment="1">
      <x:alignment horizontal="general" vertical="top" wrapText="1"/>
    </x:xf>
    <x:xf numFmtId="165" fontId="5" fillId="0" borderId="7" xfId="0" applyFont="1" applyBorder="1" applyAlignment="1">
      <x:alignment horizontal="general" vertical="top" wrapText="0"/>
    </x:xf>
    <x:xf numFmtId="164" fontId="5" fillId="0" borderId="9" xfId="0" applyFont="1" applyBorder="1" applyAlignment="1">
      <x:alignment horizontal="general" vertical="top" wrapText="0"/>
    </x:xf>
    <x:xf numFmtId="165" fontId="5" fillId="0" borderId="10" xfId="0" applyFont="1" applyBorder="1" applyAlignment="1">
      <x:alignment horizontal="general" vertical="top" wrapText="0"/>
    </x:xf>
    <x:xf numFmtId="166" fontId="5" fillId="0" borderId="11" xfId="0" applyFont="1" applyBorder="1" applyAlignment="1">
      <x:alignment horizontal="general" vertical="top" wrapText="0"/>
    </x:xf>
    <x:xf numFmtId="164" fontId="5" fillId="0" borderId="11" xfId="0" applyFont="1" applyBorder="1" applyAlignment="1">
      <x:alignment horizontal="general" vertical="top" wrapText="0"/>
    </x:xf>
    <x:xf numFmtId="164" fontId="5" fillId="0" borderId="12" xfId="0" applyFont="1" applyBorder="1" applyAlignment="1">
      <x:alignment horizontal="general" vertical="top" wrapText="0"/>
    </x:xf>
    <x:xf numFmtId="168" fontId="5" fillId="2" borderId="0" xfId="0" applyFont="1" applyBorder="0" applyAlignment="0">
      <x:alignment horizontal="general" vertical="bottom" wrapText="0"/>
    </x:xf>
    <x:xf numFmtId="164" fontId="5" fillId="2" borderId="0" xfId="0" applyFont="1" applyBorder="0" applyAlignment="1">
      <x:alignment horizontal="left" vertical="bottom" wrapText="0"/>
    </x:xf>
    <x:xf numFmtId="168" fontId="5" fillId="2" borderId="0" xfId="0" applyFont="1" applyBorder="0" applyAlignment="0">
      <x:alignment horizontal="general" vertical="bottom" wrapText="0"/>
    </x:xf>
    <x:xf numFmtId="164" fontId="8" fillId="2" borderId="0" xfId="0" applyFont="1" applyBorder="0" applyAlignment="1">
      <x:alignment horizontal="left" vertical="bottom" wrapText="0"/>
    </x:xf>
    <x:xf numFmtId="164" fontId="14" fillId="2" borderId="0" xfId="0" applyFont="1" applyBorder="0" applyAlignment="1">
      <x:alignment horizontal="left" vertical="bottom" wrapText="0"/>
    </x:xf>
    <x:xf numFmtId="164" fontId="15" fillId="2" borderId="0" xfId="0" applyFont="1" applyBorder="0" applyAlignment="1">
      <x:alignment horizontal="left" vertical="bottom" wrapText="0"/>
    </x:xf>
    <x:xf numFmtId="168" fontId="9" fillId="2" borderId="1" xfId="0" applyFont="1" applyBorder="1" applyAlignment="1">
      <x:alignment horizontal="general" vertical="bottom" wrapText="0"/>
    </x:xf>
    <x:xf numFmtId="164" fontId="10" fillId="2" borderId="2" xfId="0" applyFont="1" applyBorder="1" applyAlignment="1">
      <x:alignment horizontal="left" vertical="bottom" wrapText="0"/>
    </x:xf>
    <x:xf numFmtId="168" fontId="9" fillId="2" borderId="2" xfId="0" applyFont="1" applyBorder="1" applyAlignment="1">
      <x:alignment horizontal="general" vertical="center" wrapText="1"/>
    </x:xf>
    <x:xf numFmtId="164" fontId="10" fillId="2" borderId="2" xfId="0" applyFont="1" applyBorder="1" applyAlignment="1">
      <x:alignment horizontal="general" vertical="top" wrapText="1"/>
    </x:xf>
    <x:xf numFmtId="168" fontId="9" fillId="2" borderId="0" xfId="0" applyFont="1" applyBorder="1" applyAlignment="1">
      <x:alignment horizontal="general" vertical="bottom" wrapText="0"/>
    </x:xf>
    <x:xf numFmtId="164" fontId="5" fillId="2" borderId="0" xfId="0" applyFont="1" applyBorder="1" applyAlignment="1">
      <x:alignment horizontal="general" vertical="bottom" wrapText="0"/>
    </x:xf>
    <x:xf numFmtId="168" fontId="5" fillId="2" borderId="0" xfId="0" applyFont="1" applyBorder="0" applyAlignment="1">
      <x:alignment horizontal="general" vertical="center" wrapText="0"/>
    </x:xf>
    <x:xf numFmtId="164" fontId="5" fillId="2" borderId="0" xfId="0" applyFont="1" applyBorder="0" applyAlignment="1">
      <x:alignment horizontal="left" vertical="center" wrapText="0"/>
    </x:xf>
    <x:xf numFmtId="168" fontId="11" fillId="4" borderId="4" xfId="0" applyFont="1" applyBorder="1" applyAlignment="1">
      <x:alignment horizontal="center" vertical="center" wrapText="0"/>
    </x:xf>
    <x:xf numFmtId="164" fontId="11" fillId="4" borderId="5" xfId="0" applyFont="1" applyBorder="1" applyAlignment="1">
      <x:alignment horizontal="center" vertical="center" wrapText="0"/>
    </x:xf>
    <x:xf numFmtId="164" fontId="11" fillId="4" borderId="13" xfId="0" applyFont="1" applyBorder="1" applyAlignment="1">
      <x:alignment horizontal="center" vertical="center" wrapText="0"/>
    </x:xf>
    <x:xf numFmtId="164" fontId="11" fillId="4" borderId="6" xfId="0" applyFont="1" applyBorder="1" applyAlignment="1">
      <x:alignment horizontal="center" vertical="center" wrapText="0"/>
    </x:xf>
    <x:xf numFmtId="168" fontId="5" fillId="2" borderId="7" xfId="0" applyFont="1" applyBorder="1" applyAlignment="1">
      <x:alignment horizontal="general" vertical="center" wrapText="0"/>
    </x:xf>
    <x:xf numFmtId="166" fontId="5" fillId="2" borderId="8" xfId="0" applyFont="1" applyBorder="1" applyAlignment="1">
      <x:alignment horizontal="left" vertical="center" wrapText="0"/>
    </x:xf>
    <x:xf numFmtId="164" fontId="16" fillId="2" borderId="8" xfId="20" applyFont="1" applyBorder="1" applyAlignment="1">
      <x:alignment horizontal="left" vertical="center" wrapText="0"/>
    </x:xf>
    <x:xf numFmtId="164" fontId="5" fillId="2" borderId="9" xfId="0" applyFont="1" applyBorder="1" applyAlignment="1">
      <x:alignment horizontal="left" vertical="center" wrapText="0"/>
    </x:xf>
    <x:xf numFmtId="164" fontId="5" fillId="2" borderId="8" xfId="0" applyFont="1" applyBorder="1" applyAlignment="1">
      <x:alignment horizontal="left" vertical="center" wrapText="0"/>
    </x:xf>
    <x:xf numFmtId="168" fontId="5" fillId="2" borderId="10" xfId="0" applyFont="1" applyBorder="1" applyAlignment="1">
      <x:alignment horizontal="general" vertical="center" wrapText="0"/>
    </x:xf>
    <x:xf numFmtId="166" fontId="5" fillId="2" borderId="11" xfId="0" applyFont="1" applyBorder="1" applyAlignment="1">
      <x:alignment horizontal="left" vertical="center" wrapText="0"/>
    </x:xf>
    <x:xf numFmtId="164" fontId="5" fillId="2" borderId="11" xfId="0" applyFont="1" applyBorder="1" applyAlignment="1">
      <x:alignment horizontal="left" vertical="center" wrapText="0"/>
    </x:xf>
    <x:xf numFmtId="164" fontId="5" fillId="2" borderId="12" xfId="0" applyFont="1" applyBorder="1" applyAlignment="1">
      <x:alignment horizontal="left" vertical="center" wrapText="0"/>
    </x:xf>
    <x:xf numFmtId="164" fontId="5" fillId="2" borderId="0" xfId="0" applyFont="1" applyBorder="0" applyAlignment="1">
      <x:alignment horizontal="general" vertical="bottom" wrapText="0"/>
    </x:xf>
    <x:xf numFmtId="164" fontId="18" fillId="2" borderId="0" xfId="0" applyFont="1" applyBorder="0" applyAlignment="0">
      <x:alignment horizontal="general" vertical="bottom" wrapText="0"/>
    </x:xf>
    <x:xf numFmtId="164" fontId="19" fillId="2" borderId="14" xfId="0" applyFont="1" applyBorder="1" applyAlignment="1">
      <x:alignment horizontal="general" vertical="bottom" wrapText="0"/>
    </x:xf>
    <x:xf numFmtId="164" fontId="19" fillId="2" borderId="14" xfId="0" applyFont="1" applyBorder="1" applyAlignment="1">
      <x:alignment horizontal="general" vertical="bottom" wrapText="1"/>
    </x:xf>
    <x:xf numFmtId="164" fontId="5" fillId="2" borderId="14" xfId="0" applyFont="1" applyBorder="1" applyAlignment="1">
      <x:alignment horizontal="general" vertical="bottom" wrapText="1"/>
    </x:xf>
    <x:xf numFmtId="164" fontId="20" fillId="2" borderId="0" xfId="0" applyFont="1" applyBorder="0" applyAlignment="1">
      <x:alignment horizontal="general" vertical="bottom" wrapText="1"/>
    </x:xf>
    <x:xf numFmtId="164" fontId="5" fillId="2" borderId="0" xfId="0" applyFont="1" applyBorder="0" applyAlignment="1">
      <x:alignment horizontal="general" vertical="bottom" wrapText="1"/>
    </x:xf>
    <x:xf numFmtId="164" fontId="18" fillId="2" borderId="0" xfId="0" applyFont="1" applyBorder="0" applyAlignment="1">
      <x:alignment horizontal="general" vertical="bottom" wrapText="1"/>
    </x:xf>
    <x:xf numFmtId="164" fontId="20" fillId="2" borderId="15" xfId="22" applyFont="1" applyBorder="1" applyAlignment="1">
      <x:alignment horizontal="left" vertical="bottom" wrapText="1"/>
    </x:xf>
    <x:xf numFmtId="164" fontId="10" fillId="2" borderId="16" xfId="22" applyFont="1" applyBorder="1" applyAlignment="1">
      <x:alignment horizontal="left" vertical="bottom" wrapText="1"/>
    </x:xf>
    <x:xf numFmtId="164" fontId="5" fillId="2" borderId="0" xfId="0" applyFont="1" applyBorder="0" applyAlignment="1">
      <x:alignment horizontal="general" vertical="bottom" wrapText="1"/>
    </x:xf>
    <x:xf numFmtId="164" fontId="19" fillId="2" borderId="0" xfId="0" applyFont="1" applyBorder="0" applyAlignment="1">
      <x:alignment horizontal="general" vertical="bottom" wrapText="0"/>
    </x:xf>
    <x:xf numFmtId="164" fontId="20" fillId="2" borderId="17" xfId="22" applyFont="1" applyBorder="1" applyAlignment="1">
      <x:alignment horizontal="left" vertical="bottom" wrapText="1"/>
    </x:xf>
    <x:xf numFmtId="164" fontId="10" fillId="2" borderId="18" xfId="22" applyFont="1" applyBorder="1" applyAlignment="1">
      <x:alignment horizontal="left" vertical="bottom" wrapText="1"/>
    </x:xf>
    <x:xf numFmtId="164" fontId="14" fillId="2" borderId="0" xfId="0" applyFont="1" applyBorder="0" applyAlignment="1">
      <x:alignment horizontal="general" vertical="bottom" wrapText="0"/>
    </x:xf>
    <x:xf numFmtId="164" fontId="14" fillId="2" borderId="17" xfId="0" applyFont="1" applyBorder="1" applyAlignment="1">
      <x:alignment horizontal="center" vertical="center" wrapText="0"/>
    </x:xf>
    <x:xf numFmtId="164" fontId="14" fillId="2" borderId="2" xfId="0" applyFont="1" applyBorder="1" applyAlignment="1">
      <x:alignment horizontal="center" vertical="center" wrapText="1"/>
    </x:xf>
    <x:xf numFmtId="164" fontId="14" fillId="2" borderId="1" xfId="0" applyFont="1" applyBorder="1" applyAlignment="1">
      <x:alignment horizontal="center" vertical="center" wrapText="1"/>
    </x:xf>
    <x:xf numFmtId="164" fontId="14" fillId="2" borderId="16" xfId="0" applyFont="1" applyBorder="1" applyAlignment="1">
      <x:alignment horizontal="center" vertical="center" wrapText="1"/>
    </x:xf>
    <x:xf numFmtId="164" fontId="5" fillId="2" borderId="0" xfId="0" applyFont="1" applyBorder="1" applyAlignment="1">
      <x:alignment horizontal="center" vertical="bottom" wrapText="1"/>
    </x:xf>
    <x:xf numFmtId="164" fontId="18" fillId="2" borderId="0" xfId="0" applyFont="1" applyBorder="1" applyAlignment="1">
      <x:alignment horizontal="center" vertical="bottom" wrapText="1"/>
    </x:xf>
    <x:xf numFmtId="164" fontId="19" fillId="2" borderId="19" xfId="0" applyFont="1" applyBorder="1" applyAlignment="1">
      <x:alignment horizontal="center" vertical="center" wrapText="0"/>
    </x:xf>
    <x:xf numFmtId="164" fontId="19" fillId="2" borderId="20" xfId="0" applyFont="1" applyBorder="1" applyAlignment="1">
      <x:alignment horizontal="center" vertical="center" wrapText="0"/>
    </x:xf>
    <x:xf numFmtId="164" fontId="19" fillId="2" borderId="21" xfId="0" applyFont="1" applyBorder="1" applyAlignment="1">
      <x:alignment horizontal="center" vertical="center" wrapText="0"/>
    </x:xf>
    <x:xf numFmtId="164" fontId="19" fillId="2" borderId="22" xfId="0" applyFont="1" applyBorder="1" applyAlignment="1">
      <x:alignment horizontal="center" vertical="center" wrapText="1"/>
    </x:xf>
    <x:xf numFmtId="164" fontId="19" fillId="2" borderId="0" xfId="0" applyFont="1" applyBorder="1" applyAlignment="1">
      <x:alignment horizontal="center" vertical="bottom" wrapText="1"/>
    </x:xf>
    <x:xf numFmtId="164" fontId="11" fillId="3" borderId="2" xfId="22" applyFont="1" applyBorder="1" applyAlignment="1">
      <x:alignment horizontal="center" vertical="center" wrapText="1"/>
    </x:xf>
    <x:xf numFmtId="164" fontId="11" fillId="3" borderId="23" xfId="22" applyFont="1" applyBorder="1" applyAlignment="1">
      <x:alignment horizontal="center" vertical="center" wrapText="1"/>
    </x:xf>
    <x:xf numFmtId="164" fontId="15" fillId="2" borderId="0" xfId="22" applyFont="1" applyBorder="1" applyAlignment="1">
      <x:alignment horizontal="center" vertical="center" wrapText="1"/>
    </x:xf>
    <x:xf numFmtId="164" fontId="20" fillId="5" borderId="1" xfId="22" applyFont="1" applyBorder="1" applyAlignment="1">
      <x:alignment horizontal="left" vertical="center" wrapText="0"/>
    </x:xf>
    <x:xf numFmtId="164" fontId="20" fillId="5" borderId="24" xfId="22" applyFont="1" applyBorder="1" applyAlignment="1">
      <x:alignment horizontal="left" vertical="center" wrapText="0"/>
    </x:xf>
    <x:xf numFmtId="164" fontId="20" fillId="5" borderId="3" xfId="22" applyFont="1" applyBorder="1" applyAlignment="1">
      <x:alignment horizontal="left" vertical="center" wrapText="0"/>
    </x:xf>
    <x:xf numFmtId="164" fontId="15" fillId="2" borderId="0" xfId="22" applyFont="1" applyBorder="1" applyAlignment="1">
      <x:alignment horizontal="left" vertical="center" wrapText="0"/>
    </x:xf>
    <x:xf numFmtId="164" fontId="5" fillId="2" borderId="2" xfId="22" applyFont="1" applyBorder="1" applyAlignment="1">
      <x:alignment horizontal="general" vertical="top" wrapText="1"/>
    </x:xf>
    <x:xf numFmtId="164" fontId="10" fillId="2" borderId="2" xfId="22" applyFont="1" applyBorder="1" applyAlignment="1">
      <x:alignment horizontal="general" vertical="top" wrapText="1"/>
    </x:xf>
    <x:xf numFmtId="164" fontId="10" fillId="2" borderId="2" xfId="0" applyFont="1" applyBorder="1" applyAlignment="1">
      <x:alignment horizontal="left" vertical="top" wrapText="1"/>
    </x:xf>
    <x:xf numFmtId="164" fontId="5" fillId="2" borderId="2" xfId="0" applyFont="1" applyBorder="1" applyAlignment="1">
      <x:alignment horizontal="general" vertical="top" wrapText="1"/>
    </x:xf>
    <x:xf numFmtId="164" fontId="18" fillId="2" borderId="0" xfId="0" applyFont="1" applyBorder="1" applyAlignment="1">
      <x:alignment horizontal="general" vertical="top" wrapText="1"/>
    </x:xf>
    <x:xf numFmtId="164" fontId="19" fillId="2" borderId="2" xfId="0" applyFont="1" applyBorder="1" applyAlignment="1">
      <x:alignment horizontal="left" vertical="top" wrapText="1"/>
    </x:xf>
    <x:xf numFmtId="164" fontId="5" fillId="2" borderId="2" xfId="0" applyFont="1" applyBorder="1" applyAlignment="1">
      <x:alignment horizontal="general" vertical="bottom" wrapText="0"/>
    </x:xf>
    <x:xf numFmtId="164" fontId="5" fillId="2" borderId="2" xfId="0" applyFont="1" applyBorder="1" applyAlignment="0">
      <x:alignment horizontal="general" vertical="bottom" wrapText="0"/>
    </x:xf>
    <x:xf numFmtId="164" fontId="18" fillId="2" borderId="0" xfId="0" applyFont="1" applyBorder="1" applyAlignment="0">
      <x:alignment horizontal="general" vertical="bottom" wrapText="0"/>
    </x:xf>
    <x:xf numFmtId="164" fontId="19" fillId="2" borderId="25" xfId="0" applyFont="1" applyBorder="1" applyAlignment="1">
      <x:alignment horizontal="center" vertical="center" wrapText="0"/>
    </x:xf>
    <x:xf numFmtId="164" fontId="19" fillId="2" borderId="2" xfId="0" applyFont="1" applyBorder="1" applyAlignment="1">
      <x:alignment horizontal="general" vertical="top" wrapText="1"/>
    </x:xf>
    <x:xf numFmtId="164" fontId="20" fillId="0" borderId="26" xfId="22" applyFont="1" applyBorder="1" applyAlignment="1">
      <x:alignment horizontal="left" vertical="center" wrapText="0"/>
    </x:xf>
    <x:xf numFmtId="164" fontId="5" fillId="2" borderId="0" xfId="22" applyFont="1" applyBorder="1" applyAlignment="1">
      <x:alignment horizontal="general" vertical="top" wrapText="1"/>
    </x:xf>
    <x:xf numFmtId="164" fontId="8" fillId="2" borderId="0" xfId="21" applyFont="1" applyBorder="1" applyAlignment="1">
      <x:alignment horizontal="center" vertical="bottom" wrapText="0"/>
    </x:xf>
    <x:xf numFmtId="164" fontId="20" fillId="2" borderId="0" xfId="21" applyFont="1" applyBorder="1" applyAlignment="0">
      <x:alignment horizontal="general" vertical="bottom" wrapText="0"/>
    </x:xf>
    <x:xf numFmtId="164" fontId="5" fillId="2" borderId="0" xfId="21" applyFont="1" applyBorder="1" applyAlignment="0">
      <x:alignment horizontal="general" vertical="bottom" wrapText="0"/>
    </x:xf>
    <x:xf numFmtId="165" fontId="5" fillId="2" borderId="0" xfId="21" applyFont="1" applyBorder="1" applyAlignment="0">
      <x:alignment horizontal="general" vertical="bottom" wrapText="0"/>
    </x:xf>
    <x:xf numFmtId="164" fontId="9" fillId="2" borderId="3" xfId="0" applyFont="1" applyBorder="1" applyAlignment="1">
      <x:alignment horizontal="left" vertical="bottom" wrapText="0"/>
    </x:xf>
    <x:xf numFmtId="164" fontId="5" fillId="2" borderId="3" xfId="0" applyFont="1" applyBorder="1" applyAlignment="1">
      <x:alignment horizontal="general" vertical="top" wrapText="0"/>
    </x:xf>
    <x:xf numFmtId="164" fontId="9" fillId="2" borderId="2" xfId="0" applyFont="1" applyBorder="1" applyAlignment="1">
      <x:alignment horizontal="general" vertical="center" wrapText="0"/>
    </x:xf>
    <x:xf numFmtId="164" fontId="10" fillId="2" borderId="3" xfId="0" applyFont="1" applyBorder="1" applyAlignment="1">
      <x:alignment horizontal="general" vertical="top" wrapText="0"/>
    </x:xf>
    <x:xf numFmtId="164" fontId="10" fillId="2" borderId="2" xfId="21" applyFont="1" applyBorder="1" applyAlignment="1">
      <x:alignment horizontal="general" vertical="top" wrapText="0"/>
    </x:xf>
    <x:xf numFmtId="164" fontId="9" fillId="2" borderId="0" xfId="0" applyFont="1" applyBorder="0" applyAlignment="0">
      <x:alignment horizontal="general" vertical="bottom" wrapText="0"/>
    </x:xf>
    <x:xf numFmtId="164" fontId="10" fillId="2" borderId="0" xfId="21" applyFont="1" applyBorder="1" applyAlignment="0">
      <x:alignment horizontal="general" vertical="bottom" wrapText="0"/>
    </x:xf>
    <x:xf numFmtId="164" fontId="5" fillId="2" borderId="0" xfId="0" applyFont="1" applyBorder="1" applyAlignment="0">
      <x:alignment horizontal="general" vertical="bottom" wrapText="0"/>
    </x:xf>
    <x:xf numFmtId="164" fontId="5" fillId="2" borderId="27" xfId="0" applyFont="1" applyBorder="1" applyAlignment="1">
      <x:alignment horizontal="general" vertical="bottom" wrapText="0"/>
    </x:xf>
    <x:xf numFmtId="164" fontId="11" fillId="3" borderId="28" xfId="0" applyFont="1" applyBorder="1" applyAlignment="1">
      <x:alignment horizontal="center" vertical="bottom" wrapText="0"/>
    </x:xf>
    <x:xf numFmtId="164" fontId="11" fillId="3" borderId="5" xfId="0" applyFont="1" applyBorder="1" applyAlignment="1">
      <x:alignment horizontal="center" vertical="bottom" wrapText="0"/>
    </x:xf>
    <x:xf numFmtId="164" fontId="11" fillId="3" borderId="5" xfId="0" applyFont="1" applyBorder="1" applyAlignment="1">
      <x:alignment horizontal="center" vertical="bottom" wrapText="1"/>
    </x:xf>
    <x:xf numFmtId="164" fontId="11" fillId="3" borderId="13" xfId="0" applyFont="1" applyBorder="1" applyAlignment="1">
      <x:alignment horizontal="center" vertical="bottom" wrapText="0"/>
    </x:xf>
    <x:xf numFmtId="164" fontId="11" fillId="3" borderId="29" xfId="0" applyFont="1" applyBorder="1" applyAlignment="1">
      <x:alignment horizontal="center" vertical="bottom" wrapText="1"/>
    </x:xf>
    <x:xf numFmtId="164" fontId="5" fillId="2" borderId="27" xfId="0" applyFont="1" applyBorder="1" applyAlignment="0">
      <x:alignment horizontal="general" vertical="bottom" wrapText="0"/>
    </x:xf>
    <x:xf numFmtId="164" fontId="5" fillId="2" borderId="30" xfId="0" applyFont="1" applyBorder="1" applyAlignment="1">
      <x:alignment horizontal="center" vertical="bottom" wrapText="0"/>
    </x:xf>
    <x:xf numFmtId="164" fontId="5" fillId="2" borderId="8" xfId="0" applyFont="1" applyBorder="1" applyAlignment="0">
      <x:alignment horizontal="general" vertical="bottom" wrapText="0"/>
    </x:xf>
    <x:xf numFmtId="164" fontId="5" fillId="2" borderId="8" xfId="0" applyFont="1" applyBorder="1" applyAlignment="1">
      <x:alignment horizontal="center" vertical="bottom" wrapText="0"/>
    </x:xf>
    <x:xf numFmtId="164" fontId="5" fillId="2" borderId="31" xfId="0" applyFont="1" applyBorder="1" applyAlignment="1">
      <x:alignment horizontal="center" vertical="bottom" wrapText="0"/>
    </x:xf>
    <x:xf numFmtId="164" fontId="5" fillId="2" borderId="32" xfId="0" applyFont="1" applyBorder="1" applyAlignment="1">
      <x:alignment horizontal="center" vertical="bottom" wrapText="0"/>
    </x:xf>
    <x:xf numFmtId="164" fontId="22" fillId="3" borderId="33" xfId="0" applyFont="1" applyBorder="1" applyAlignment="1">
      <x:alignment horizontal="center" vertical="bottom" wrapText="0"/>
    </x:xf>
    <x:xf numFmtId="164" fontId="11" fillId="3" borderId="11" xfId="0" applyFont="1" applyBorder="1" applyAlignment="0">
      <x:alignment horizontal="general" vertical="bottom" wrapText="0"/>
    </x:xf>
    <x:xf numFmtId="164" fontId="22" fillId="3" borderId="11" xfId="0" applyFont="1" applyBorder="1" applyAlignment="1">
      <x:alignment horizontal="center" vertical="bottom" wrapText="0"/>
    </x:xf>
    <x:xf numFmtId="164" fontId="22" fillId="3" borderId="34" xfId="0" applyFont="1" applyBorder="1" applyAlignment="1">
      <x:alignment horizontal="center" vertical="bottom" wrapText="0"/>
    </x:xf>
    <x:xf numFmtId="164" fontId="5" fillId="2" borderId="0" xfId="0" applyFont="1" applyBorder="1" applyAlignment="1">
      <x:alignment horizontal="center" vertical="bottom" wrapText="0"/>
    </x:xf>
    <x:xf numFmtId="169" fontId="5" fillId="2" borderId="0" xfId="0" applyFont="1" applyBorder="1" applyAlignment="1">
      <x:alignment horizontal="center" vertical="bottom" wrapText="0"/>
    </x:xf>
    <x:xf numFmtId="170" fontId="5" fillId="2" borderId="0" xfId="0" applyFont="1" applyBorder="1" applyAlignment="1">
      <x:alignment horizontal="center" vertical="bottom" wrapText="0"/>
    </x:xf>
    <x:xf numFmtId="164" fontId="9" fillId="2" borderId="0" xfId="0" applyFont="1" applyBorder="1" applyAlignment="1">
      <x:alignment horizontal="left" vertical="bottom" wrapText="0"/>
    </x:xf>
    <x:xf numFmtId="171" fontId="23" fillId="2" borderId="0" xfId="0" applyFont="1" applyBorder="1" applyAlignment="1">
      <x:alignment horizontal="right" vertical="bottom" wrapText="1"/>
    </x:xf>
    <x:xf numFmtId="164" fontId="0" fillId="0" borderId="35" xfId="0" applyNumberFormat="1" applyFont="1" applyFill="1" applyBorder="1" applyAlignment="1">
      <x:alignment horizontal="general" vertical="bottom" wrapText="0"/>
    </x:xf>
    <x:xf numFmtId="164" fontId="5" fillId="0" borderId="35" xfId="0" applyNumberFormat="1" applyFont="1" applyFill="1" applyBorder="1" applyAlignment="1">
      <x:alignment horizontal="general" vertical="bottom" wrapText="0"/>
    </x:xf>
    <x:xf numFmtId="164" fontId="5" fillId="0" borderId="35" xfId="0" applyNumberFormat="1" applyFont="1" applyFill="1" applyBorder="1" applyAlignment="1">
      <x:alignment horizontal="left" vertical="bottom" wrapText="0"/>
    </x:xf>
    <x:xf numFmtId="164" fontId="6" fillId="2" borderId="35" xfId="0" applyNumberFormat="1" applyFont="1" applyFill="1" applyBorder="1" applyAlignment="1">
      <x:alignment horizontal="center" vertical="center" wrapText="0"/>
    </x:xf>
    <x:xf numFmtId="164" fontId="7" fillId="0" borderId="36" xfId="0" applyNumberFormat="1" applyFont="1" applyFill="1" applyBorder="1" applyAlignment="1">
      <x:alignment horizontal="center" vertical="center" wrapText="0"/>
    </x:xf>
    <x:xf numFmtId="164" fontId="8" fillId="0" borderId="37" xfId="0" applyNumberFormat="1" applyFont="1" applyFill="1" applyBorder="1" applyAlignment="1">
      <x:alignment horizontal="center" vertical="center" wrapText="0"/>
    </x:xf>
    <x:xf numFmtId="164" fontId="9" fillId="2" borderId="35" xfId="0" applyNumberFormat="1" applyFont="1" applyFill="1" applyBorder="1" applyAlignment="1">
      <x:alignment horizontal="left" vertical="bottom" wrapText="0"/>
    </x:xf>
    <x:xf numFmtId="164" fontId="10" fillId="0" borderId="35" xfId="0" applyNumberFormat="1" applyFont="1" applyFill="1" applyBorder="1" applyAlignment="1">
      <x:alignment horizontal="left" vertical="bottom" wrapText="0"/>
    </x:xf>
    <x:xf numFmtId="164" fontId="5" fillId="2" borderId="35" xfId="0" applyNumberFormat="1" applyFont="1" applyFill="1" applyBorder="1" applyAlignment="1">
      <x:alignment horizontal="general" vertical="bottom" wrapText="0"/>
    </x:xf>
    <x:xf numFmtId="164" fontId="9" fillId="2" borderId="37" xfId="0" applyNumberFormat="1" applyFont="1" applyFill="1" applyBorder="1" applyAlignment="1">
      <x:alignment horizontal="left" vertical="bottom" wrapText="0"/>
    </x:xf>
    <x:xf numFmtId="164" fontId="10" fillId="0" borderId="37" xfId="0" applyNumberFormat="1" applyFont="1" applyFill="1" applyBorder="1" applyAlignment="1">
      <x:alignment horizontal="left" vertical="bottom" wrapText="0"/>
    </x:xf>
    <x:xf numFmtId="164" fontId="5" fillId="0" borderId="38" xfId="0" applyNumberFormat="1" applyFont="1" applyFill="1" applyBorder="1" applyAlignment="1">
      <x:alignment horizontal="general" vertical="bottom" wrapText="0"/>
    </x:xf>
    <x:xf numFmtId="164" fontId="9" fillId="2" borderId="37" xfId="0" applyNumberFormat="1" applyFont="1" applyFill="1" applyBorder="1" applyAlignment="1">
      <x:alignment horizontal="left" vertical="center" wrapText="0"/>
    </x:xf>
    <x:xf numFmtId="164" fontId="10" fillId="0" borderId="37" xfId="0" applyNumberFormat="1" applyFont="1" applyFill="1" applyBorder="1" applyAlignment="1">
      <x:alignment horizontal="left" vertical="center" wrapText="0"/>
    </x:xf>
    <x:xf numFmtId="164" fontId="10" fillId="0" borderId="38" xfId="0" applyNumberFormat="1" applyFont="1" applyFill="1" applyBorder="1" applyAlignment="1">
      <x:alignment horizontal="left" vertical="bottom" wrapText="0"/>
    </x:xf>
    <x:xf numFmtId="164" fontId="9" fillId="2" borderId="35" xfId="0" applyNumberFormat="1" applyFont="1" applyFill="1" applyBorder="1" applyAlignment="1">
      <x:alignment horizontal="general" vertical="bottom" wrapText="0"/>
    </x:xf>
    <x:xf numFmtId="164" fontId="9" fillId="0" borderId="35" xfId="0" applyNumberFormat="1" applyFont="1" applyFill="1" applyBorder="1" applyAlignment="1">
      <x:alignment horizontal="left" vertical="bottom" wrapText="0"/>
    </x:xf>
    <x:xf numFmtId="165" fontId="11" fillId="3" borderId="39" xfId="0" applyNumberFormat="1" applyFont="1" applyFill="1" applyBorder="1" applyAlignment="1">
      <x:alignment horizontal="center" vertical="center" wrapText="0"/>
    </x:xf>
    <x:xf numFmtId="164" fontId="11" fillId="3" borderId="40" xfId="0" applyNumberFormat="1" applyFont="1" applyFill="1" applyBorder="1" applyAlignment="1">
      <x:alignment horizontal="center" vertical="center" wrapText="0"/>
    </x:xf>
    <x:xf numFmtId="164" fontId="11" fillId="3" borderId="41" xfId="0" applyNumberFormat="1" applyFont="1" applyFill="1" applyBorder="1" applyAlignment="1">
      <x:alignment horizontal="center" vertical="center" wrapText="0"/>
    </x:xf>
    <x:xf numFmtId="164" fontId="10" fillId="0" borderId="42" xfId="0" applyNumberFormat="1" applyFont="1" applyFill="1" applyBorder="1" applyAlignment="1">
      <x:alignment horizontal="general" vertical="top" wrapText="1"/>
    </x:xf>
    <x:xf numFmtId="166" fontId="5" fillId="0" borderId="43" xfId="0" applyNumberFormat="1" applyFont="1" applyFill="1" applyBorder="1" applyAlignment="1">
      <x:alignment horizontal="general" vertical="top" wrapText="0"/>
    </x:xf>
    <x:xf numFmtId="164" fontId="5" fillId="0" borderId="43" xfId="0" applyNumberFormat="1" applyFont="1" applyFill="1" applyBorder="1" applyAlignment="1">
      <x:alignment horizontal="general" vertical="top" wrapText="0"/>
    </x:xf>
    <x:xf numFmtId="167" fontId="5" fillId="0" borderId="43" xfId="0" applyNumberFormat="1" applyFont="1" applyFill="1" applyBorder="1" applyAlignment="1">
      <x:alignment horizontal="general" vertical="top" wrapText="0"/>
    </x:xf>
    <x:xf numFmtId="164" fontId="10" fillId="0" borderId="44" xfId="0" applyNumberFormat="1" applyFont="1" applyFill="1" applyBorder="1" applyAlignment="1">
      <x:alignment horizontal="general" vertical="top" wrapText="1"/>
    </x:xf>
    <x:xf numFmtId="165" fontId="5" fillId="0" borderId="42" xfId="0" applyNumberFormat="1" applyFont="1" applyFill="1" applyBorder="1" applyAlignment="1">
      <x:alignment horizontal="general" vertical="top" wrapText="0"/>
    </x:xf>
    <x:xf numFmtId="164" fontId="5" fillId="0" borderId="44" xfId="0" applyNumberFormat="1" applyFont="1" applyFill="1" applyBorder="1" applyAlignment="1">
      <x:alignment horizontal="general" vertical="top" wrapText="0"/>
    </x:xf>
    <x:xf numFmtId="165" fontId="5" fillId="0" borderId="45" xfId="0" applyNumberFormat="1" applyFont="1" applyFill="1" applyBorder="1" applyAlignment="1">
      <x:alignment horizontal="general" vertical="top" wrapText="0"/>
    </x:xf>
    <x:xf numFmtId="166" fontId="5" fillId="0" borderId="46" xfId="0" applyNumberFormat="1" applyFont="1" applyFill="1" applyBorder="1" applyAlignment="1">
      <x:alignment horizontal="general" vertical="top" wrapText="0"/>
    </x:xf>
    <x:xf numFmtId="164" fontId="5" fillId="0" borderId="46" xfId="0" applyNumberFormat="1" applyFont="1" applyFill="1" applyBorder="1" applyAlignment="1">
      <x:alignment horizontal="general" vertical="top" wrapText="0"/>
    </x:xf>
    <x:xf numFmtId="164" fontId="5" fillId="0" borderId="47" xfId="0" applyNumberFormat="1" applyFont="1" applyFill="1" applyBorder="1" applyAlignment="1">
      <x:alignment horizontal="general" vertical="top" wrapText="0"/>
    </x:xf>
    <x:xf numFmtId="168" fontId="5" fillId="2" borderId="35" xfId="0" applyNumberFormat="1" applyFont="1" applyFill="1" applyBorder="1" applyAlignment="1">
      <x:alignment horizontal="general" vertical="bottom" wrapText="0"/>
    </x:xf>
    <x:xf numFmtId="164" fontId="5" fillId="2" borderId="35" xfId="0" applyNumberFormat="1" applyFont="1" applyFill="1" applyBorder="1" applyAlignment="1">
      <x:alignment horizontal="left" vertical="bottom" wrapText="0"/>
    </x:xf>
    <x:xf numFmtId="164" fontId="8" fillId="2" borderId="35" xfId="0" applyNumberFormat="1" applyFont="1" applyFill="1" applyBorder="1" applyAlignment="1">
      <x:alignment horizontal="left" vertical="bottom" wrapText="0"/>
    </x:xf>
    <x:xf numFmtId="164" fontId="14" fillId="2" borderId="35" xfId="0" applyNumberFormat="1" applyFont="1" applyFill="1" applyBorder="1" applyAlignment="1">
      <x:alignment horizontal="left" vertical="bottom" wrapText="0"/>
    </x:xf>
    <x:xf numFmtId="164" fontId="15" fillId="2" borderId="35" xfId="0" applyNumberFormat="1" applyFont="1" applyFill="1" applyBorder="1" applyAlignment="1">
      <x:alignment horizontal="left" vertical="bottom" wrapText="0"/>
    </x:xf>
    <x:xf numFmtId="168" fontId="9" fillId="2" borderId="36" xfId="0" applyNumberFormat="1" applyFont="1" applyFill="1" applyBorder="1" applyAlignment="1">
      <x:alignment horizontal="general" vertical="bottom" wrapText="0"/>
    </x:xf>
    <x:xf numFmtId="164" fontId="10" fillId="2" borderId="37" xfId="0" applyNumberFormat="1" applyFont="1" applyFill="1" applyBorder="1" applyAlignment="1">
      <x:alignment horizontal="left" vertical="bottom" wrapText="0"/>
    </x:xf>
    <x:xf numFmtId="168" fontId="9" fillId="2" borderId="37" xfId="0" applyNumberFormat="1" applyFont="1" applyFill="1" applyBorder="1" applyAlignment="1">
      <x:alignment horizontal="general" vertical="center" wrapText="1"/>
    </x:xf>
    <x:xf numFmtId="164" fontId="10" fillId="2" borderId="37" xfId="0" applyNumberFormat="1" applyFont="1" applyFill="1" applyBorder="1" applyAlignment="1">
      <x:alignment horizontal="general" vertical="top" wrapText="1"/>
    </x:xf>
    <x:xf numFmtId="168" fontId="9" fillId="2" borderId="35" xfId="0" applyNumberFormat="1" applyFont="1" applyFill="1" applyBorder="1" applyAlignment="1">
      <x:alignment horizontal="general" vertical="bottom" wrapText="0"/>
    </x:xf>
    <x:xf numFmtId="168" fontId="5" fillId="2" borderId="35" xfId="0" applyNumberFormat="1" applyFont="1" applyFill="1" applyBorder="1" applyAlignment="1">
      <x:alignment horizontal="general" vertical="center" wrapText="0"/>
    </x:xf>
    <x:xf numFmtId="164" fontId="5" fillId="2" borderId="35" xfId="0" applyNumberFormat="1" applyFont="1" applyFill="1" applyBorder="1" applyAlignment="1">
      <x:alignment horizontal="left" vertical="center" wrapText="0"/>
    </x:xf>
    <x:xf numFmtId="168" fontId="11" fillId="4" borderId="39" xfId="0" applyNumberFormat="1" applyFont="1" applyFill="1" applyBorder="1" applyAlignment="1">
      <x:alignment horizontal="center" vertical="center" wrapText="0"/>
    </x:xf>
    <x:xf numFmtId="164" fontId="11" fillId="4" borderId="40" xfId="0" applyNumberFormat="1" applyFont="1" applyFill="1" applyBorder="1" applyAlignment="1">
      <x:alignment horizontal="center" vertical="center" wrapText="0"/>
    </x:xf>
    <x:xf numFmtId="164" fontId="11" fillId="4" borderId="48" xfId="0" applyNumberFormat="1" applyFont="1" applyFill="1" applyBorder="1" applyAlignment="1">
      <x:alignment horizontal="center" vertical="center" wrapText="0"/>
    </x:xf>
    <x:xf numFmtId="164" fontId="11" fillId="4" borderId="41" xfId="0" applyNumberFormat="1" applyFont="1" applyFill="1" applyBorder="1" applyAlignment="1">
      <x:alignment horizontal="center" vertical="center" wrapText="0"/>
    </x:xf>
    <x:xf numFmtId="168" fontId="5" fillId="2" borderId="42" xfId="0" applyNumberFormat="1" applyFont="1" applyFill="1" applyBorder="1" applyAlignment="1">
      <x:alignment horizontal="general" vertical="center" wrapText="0"/>
    </x:xf>
    <x:xf numFmtId="166" fontId="5" fillId="2" borderId="43" xfId="0" applyNumberFormat="1" applyFont="1" applyFill="1" applyBorder="1" applyAlignment="1">
      <x:alignment horizontal="left" vertical="center" wrapText="0"/>
    </x:xf>
    <x:xf numFmtId="164" fontId="16" fillId="2" borderId="43" xfId="0" applyNumberFormat="1" applyFont="1" applyFill="1" applyBorder="1" applyAlignment="1">
      <x:alignment horizontal="left" vertical="center" wrapText="0"/>
    </x:xf>
    <x:xf numFmtId="164" fontId="5" fillId="2" borderId="44" xfId="0" applyNumberFormat="1" applyFont="1" applyFill="1" applyBorder="1" applyAlignment="1">
      <x:alignment horizontal="left" vertical="center" wrapText="0"/>
    </x:xf>
    <x:xf numFmtId="164" fontId="5" fillId="2" borderId="43" xfId="0" applyNumberFormat="1" applyFont="1" applyFill="1" applyBorder="1" applyAlignment="1">
      <x:alignment horizontal="left" vertical="center" wrapText="0"/>
    </x:xf>
    <x:xf numFmtId="168" fontId="5" fillId="2" borderId="45" xfId="0" applyNumberFormat="1" applyFont="1" applyFill="1" applyBorder="1" applyAlignment="1">
      <x:alignment horizontal="general" vertical="center" wrapText="0"/>
    </x:xf>
    <x:xf numFmtId="166" fontId="5" fillId="2" borderId="46" xfId="0" applyNumberFormat="1" applyFont="1" applyFill="1" applyBorder="1" applyAlignment="1">
      <x:alignment horizontal="left" vertical="center" wrapText="0"/>
    </x:xf>
    <x:xf numFmtId="164" fontId="5" fillId="2" borderId="46" xfId="0" applyNumberFormat="1" applyFont="1" applyFill="1" applyBorder="1" applyAlignment="1">
      <x:alignment horizontal="left" vertical="center" wrapText="0"/>
    </x:xf>
    <x:xf numFmtId="164" fontId="5" fillId="2" borderId="47" xfId="0" applyNumberFormat="1" applyFont="1" applyFill="1" applyBorder="1" applyAlignment="1">
      <x:alignment horizontal="left" vertical="center" wrapText="0"/>
    </x:xf>
    <x:xf numFmtId="164" fontId="18" fillId="2" borderId="35" xfId="0" applyNumberFormat="1" applyFont="1" applyFill="1" applyBorder="1" applyAlignment="1">
      <x:alignment horizontal="general" vertical="bottom" wrapText="0"/>
    </x:xf>
    <x:xf numFmtId="164" fontId="19" fillId="2" borderId="49" xfId="0" applyNumberFormat="1" applyFont="1" applyFill="1" applyBorder="1" applyAlignment="1">
      <x:alignment horizontal="general" vertical="bottom" wrapText="0"/>
    </x:xf>
    <x:xf numFmtId="164" fontId="19" fillId="2" borderId="49" xfId="0" applyNumberFormat="1" applyFont="1" applyFill="1" applyBorder="1" applyAlignment="1">
      <x:alignment horizontal="general" vertical="bottom" wrapText="1"/>
    </x:xf>
    <x:xf numFmtId="164" fontId="5" fillId="2" borderId="49" xfId="0" applyNumberFormat="1" applyFont="1" applyFill="1" applyBorder="1" applyAlignment="1">
      <x:alignment horizontal="general" vertical="bottom" wrapText="1"/>
    </x:xf>
    <x:xf numFmtId="164" fontId="20" fillId="2" borderId="35" xfId="0" applyNumberFormat="1" applyFont="1" applyFill="1" applyBorder="1" applyAlignment="1">
      <x:alignment horizontal="general" vertical="bottom" wrapText="1"/>
    </x:xf>
    <x:xf numFmtId="164" fontId="5" fillId="2" borderId="35" xfId="0" applyNumberFormat="1" applyFont="1" applyFill="1" applyBorder="1" applyAlignment="1">
      <x:alignment horizontal="general" vertical="bottom" wrapText="1"/>
    </x:xf>
    <x:xf numFmtId="164" fontId="18" fillId="2" borderId="35" xfId="0" applyNumberFormat="1" applyFont="1" applyFill="1" applyBorder="1" applyAlignment="1">
      <x:alignment horizontal="general" vertical="bottom" wrapText="1"/>
    </x:xf>
    <x:xf numFmtId="164" fontId="20" fillId="2" borderId="50" xfId="0" applyNumberFormat="1" applyFont="1" applyFill="1" applyBorder="1" applyAlignment="1">
      <x:alignment horizontal="left" vertical="bottom" wrapText="1"/>
    </x:xf>
    <x:xf numFmtId="164" fontId="10" fillId="2" borderId="51" xfId="0" applyNumberFormat="1" applyFont="1" applyFill="1" applyBorder="1" applyAlignment="1">
      <x:alignment horizontal="left" vertical="bottom" wrapText="1"/>
    </x:xf>
    <x:xf numFmtId="164" fontId="19" fillId="2" borderId="35" xfId="0" applyNumberFormat="1" applyFont="1" applyFill="1" applyBorder="1" applyAlignment="1">
      <x:alignment horizontal="general" vertical="bottom" wrapText="0"/>
    </x:xf>
    <x:xf numFmtId="164" fontId="20" fillId="2" borderId="52" xfId="0" applyNumberFormat="1" applyFont="1" applyFill="1" applyBorder="1" applyAlignment="1">
      <x:alignment horizontal="left" vertical="bottom" wrapText="1"/>
    </x:xf>
    <x:xf numFmtId="164" fontId="10" fillId="2" borderId="53" xfId="0" applyNumberFormat="1" applyFont="1" applyFill="1" applyBorder="1" applyAlignment="1">
      <x:alignment horizontal="left" vertical="bottom" wrapText="1"/>
    </x:xf>
    <x:xf numFmtId="164" fontId="14" fillId="2" borderId="35" xfId="0" applyNumberFormat="1" applyFont="1" applyFill="1" applyBorder="1" applyAlignment="1">
      <x:alignment horizontal="general" vertical="bottom" wrapText="0"/>
    </x:xf>
    <x:xf numFmtId="164" fontId="14" fillId="2" borderId="52" xfId="0" applyNumberFormat="1" applyFont="1" applyFill="1" applyBorder="1" applyAlignment="1">
      <x:alignment horizontal="center" vertical="center" wrapText="0"/>
    </x:xf>
    <x:xf numFmtId="164" fontId="14" fillId="2" borderId="37" xfId="0" applyNumberFormat="1" applyFont="1" applyFill="1" applyBorder="1" applyAlignment="1">
      <x:alignment horizontal="center" vertical="center" wrapText="1"/>
    </x:xf>
    <x:xf numFmtId="164" fontId="14" fillId="2" borderId="36" xfId="0" applyNumberFormat="1" applyFont="1" applyFill="1" applyBorder="1" applyAlignment="1">
      <x:alignment horizontal="center" vertical="center" wrapText="1"/>
    </x:xf>
    <x:xf numFmtId="164" fontId="14" fillId="2" borderId="51" xfId="0" applyNumberFormat="1" applyFont="1" applyFill="1" applyBorder="1" applyAlignment="1">
      <x:alignment horizontal="center" vertical="center" wrapText="1"/>
    </x:xf>
    <x:xf numFmtId="164" fontId="5" fillId="2" borderId="35" xfId="0" applyNumberFormat="1" applyFont="1" applyFill="1" applyBorder="1" applyAlignment="1">
      <x:alignment horizontal="center" vertical="bottom" wrapText="1"/>
    </x:xf>
    <x:xf numFmtId="164" fontId="18" fillId="2" borderId="35" xfId="0" applyNumberFormat="1" applyFont="1" applyFill="1" applyBorder="1" applyAlignment="1">
      <x:alignment horizontal="center" vertical="bottom" wrapText="1"/>
    </x:xf>
    <x:xf numFmtId="164" fontId="19" fillId="2" borderId="54" xfId="0" applyNumberFormat="1" applyFont="1" applyFill="1" applyBorder="1" applyAlignment="1">
      <x:alignment horizontal="center" vertical="center" wrapText="0"/>
    </x:xf>
    <x:xf numFmtId="164" fontId="19" fillId="2" borderId="55" xfId="0" applyNumberFormat="1" applyFont="1" applyFill="1" applyBorder="1" applyAlignment="1">
      <x:alignment horizontal="center" vertical="center" wrapText="0"/>
    </x:xf>
    <x:xf numFmtId="164" fontId="19" fillId="2" borderId="56" xfId="0" applyNumberFormat="1" applyFont="1" applyFill="1" applyBorder="1" applyAlignment="1">
      <x:alignment horizontal="center" vertical="center" wrapText="0"/>
    </x:xf>
    <x:xf numFmtId="164" fontId="19" fillId="2" borderId="57" xfId="0" applyNumberFormat="1" applyFont="1" applyFill="1" applyBorder="1" applyAlignment="1">
      <x:alignment horizontal="center" vertical="center" wrapText="1"/>
    </x:xf>
    <x:xf numFmtId="164" fontId="19" fillId="2" borderId="35" xfId="0" applyNumberFormat="1" applyFont="1" applyFill="1" applyBorder="1" applyAlignment="1">
      <x:alignment horizontal="center" vertical="bottom" wrapText="1"/>
    </x:xf>
    <x:xf numFmtId="164" fontId="11" fillId="3" borderId="37" xfId="0" applyNumberFormat="1" applyFont="1" applyFill="1" applyBorder="1" applyAlignment="1">
      <x:alignment horizontal="center" vertical="center" wrapText="1"/>
    </x:xf>
    <x:xf numFmtId="164" fontId="11" fillId="3" borderId="58" xfId="0" applyNumberFormat="1" applyFont="1" applyFill="1" applyBorder="1" applyAlignment="1">
      <x:alignment horizontal="center" vertical="center" wrapText="1"/>
    </x:xf>
    <x:xf numFmtId="164" fontId="15" fillId="2" borderId="35" xfId="0" applyNumberFormat="1" applyFont="1" applyFill="1" applyBorder="1" applyAlignment="1">
      <x:alignment horizontal="center" vertical="center" wrapText="1"/>
    </x:xf>
    <x:xf numFmtId="164" fontId="20" fillId="5" borderId="36" xfId="0" applyNumberFormat="1" applyFont="1" applyFill="1" applyBorder="1" applyAlignment="1">
      <x:alignment horizontal="left" vertical="center" wrapText="0"/>
    </x:xf>
    <x:xf numFmtId="164" fontId="20" fillId="5" borderId="59" xfId="0" applyNumberFormat="1" applyFont="1" applyFill="1" applyBorder="1" applyAlignment="1">
      <x:alignment horizontal="left" vertical="center" wrapText="0"/>
    </x:xf>
    <x:xf numFmtId="164" fontId="20" fillId="5" borderId="38" xfId="0" applyNumberFormat="1" applyFont="1" applyFill="1" applyBorder="1" applyAlignment="1">
      <x:alignment horizontal="left" vertical="center" wrapText="0"/>
    </x:xf>
    <x:xf numFmtId="164" fontId="15" fillId="2" borderId="35" xfId="0" applyNumberFormat="1" applyFont="1" applyFill="1" applyBorder="1" applyAlignment="1">
      <x:alignment horizontal="left" vertical="center" wrapText="0"/>
    </x:xf>
    <x:xf numFmtId="164" fontId="5" fillId="2" borderId="37" xfId="0" applyNumberFormat="1" applyFont="1" applyFill="1" applyBorder="1" applyAlignment="1">
      <x:alignment horizontal="general" vertical="top" wrapText="1"/>
    </x:xf>
    <x:xf numFmtId="164" fontId="10" fillId="2" borderId="37" xfId="0" applyNumberFormat="1" applyFont="1" applyFill="1" applyBorder="1" applyAlignment="1">
      <x:alignment horizontal="left" vertical="top" wrapText="1"/>
    </x:xf>
    <x:xf numFmtId="164" fontId="18" fillId="2" borderId="35" xfId="0" applyNumberFormat="1" applyFont="1" applyFill="1" applyBorder="1" applyAlignment="1">
      <x:alignment horizontal="general" vertical="top" wrapText="1"/>
    </x:xf>
    <x:xf numFmtId="164" fontId="19" fillId="2" borderId="37" xfId="0" applyNumberFormat="1" applyFont="1" applyFill="1" applyBorder="1" applyAlignment="1">
      <x:alignment horizontal="left" vertical="top" wrapText="1"/>
    </x:xf>
    <x:xf numFmtId="164" fontId="5" fillId="2" borderId="37" xfId="0" applyNumberFormat="1" applyFont="1" applyFill="1" applyBorder="1" applyAlignment="1">
      <x:alignment horizontal="general" vertical="bottom" wrapText="0"/>
    </x:xf>
    <x:xf numFmtId="164" fontId="19" fillId="2" borderId="60" xfId="0" applyNumberFormat="1" applyFont="1" applyFill="1" applyBorder="1" applyAlignment="1">
      <x:alignment horizontal="center" vertical="center" wrapText="0"/>
    </x:xf>
    <x:xf numFmtId="164" fontId="19" fillId="2" borderId="37" xfId="0" applyNumberFormat="1" applyFont="1" applyFill="1" applyBorder="1" applyAlignment="1">
      <x:alignment horizontal="general" vertical="top" wrapText="1"/>
    </x:xf>
    <x:xf numFmtId="164" fontId="20" fillId="0" borderId="61" xfId="0" applyNumberFormat="1" applyFont="1" applyFill="1" applyBorder="1" applyAlignment="1">
      <x:alignment horizontal="left" vertical="center" wrapText="0"/>
    </x:xf>
    <x:xf numFmtId="164" fontId="5" fillId="2" borderId="35" xfId="0" applyNumberFormat="1" applyFont="1" applyFill="1" applyBorder="1" applyAlignment="1">
      <x:alignment horizontal="general" vertical="top" wrapText="1"/>
    </x:xf>
    <x:xf numFmtId="164" fontId="8" fillId="2" borderId="35" xfId="0" applyNumberFormat="1" applyFont="1" applyFill="1" applyBorder="1" applyAlignment="1">
      <x:alignment horizontal="center" vertical="bottom" wrapText="0"/>
    </x:xf>
    <x:xf numFmtId="164" fontId="20" fillId="2" borderId="35" xfId="0" applyNumberFormat="1" applyFont="1" applyFill="1" applyBorder="1" applyAlignment="1">
      <x:alignment horizontal="general" vertical="bottom" wrapText="0"/>
    </x:xf>
    <x:xf numFmtId="165" fontId="5" fillId="2" borderId="35" xfId="0" applyNumberFormat="1" applyFont="1" applyFill="1" applyBorder="1" applyAlignment="1">
      <x:alignment horizontal="general" vertical="bottom" wrapText="0"/>
    </x:xf>
    <x:xf numFmtId="164" fontId="9" fillId="2" borderId="38" xfId="0" applyNumberFormat="1" applyFont="1" applyFill="1" applyBorder="1" applyAlignment="1">
      <x:alignment horizontal="left" vertical="bottom" wrapText="0"/>
    </x:xf>
    <x:xf numFmtId="164" fontId="5" fillId="2" borderId="38" xfId="0" applyNumberFormat="1" applyFont="1" applyFill="1" applyBorder="1" applyAlignment="1">
      <x:alignment horizontal="general" vertical="top" wrapText="0"/>
    </x:xf>
    <x:xf numFmtId="164" fontId="9" fillId="2" borderId="37" xfId="0" applyNumberFormat="1" applyFont="1" applyFill="1" applyBorder="1" applyAlignment="1">
      <x:alignment horizontal="general" vertical="center" wrapText="0"/>
    </x:xf>
    <x:xf numFmtId="164" fontId="10" fillId="2" borderId="38" xfId="0" applyNumberFormat="1" applyFont="1" applyFill="1" applyBorder="1" applyAlignment="1">
      <x:alignment horizontal="general" vertical="top" wrapText="0"/>
    </x:xf>
    <x:xf numFmtId="164" fontId="10" fillId="2" borderId="37" xfId="0" applyNumberFormat="1" applyFont="1" applyFill="1" applyBorder="1" applyAlignment="1">
      <x:alignment horizontal="general" vertical="top" wrapText="0"/>
    </x:xf>
    <x:xf numFmtId="164" fontId="10" fillId="2" borderId="35" xfId="0" applyNumberFormat="1" applyFont="1" applyFill="1" applyBorder="1" applyAlignment="1">
      <x:alignment horizontal="general" vertical="bottom" wrapText="0"/>
    </x:xf>
    <x:xf numFmtId="164" fontId="5" fillId="2" borderId="62" xfId="0" applyNumberFormat="1" applyFont="1" applyFill="1" applyBorder="1" applyAlignment="1">
      <x:alignment horizontal="general" vertical="bottom" wrapText="0"/>
    </x:xf>
    <x:xf numFmtId="164" fontId="11" fillId="3" borderId="63" xfId="0" applyNumberFormat="1" applyFont="1" applyFill="1" applyBorder="1" applyAlignment="1">
      <x:alignment horizontal="center" vertical="bottom" wrapText="0"/>
    </x:xf>
    <x:xf numFmtId="164" fontId="11" fillId="3" borderId="40" xfId="0" applyNumberFormat="1" applyFont="1" applyFill="1" applyBorder="1" applyAlignment="1">
      <x:alignment horizontal="center" vertical="bottom" wrapText="0"/>
    </x:xf>
    <x:xf numFmtId="164" fontId="11" fillId="3" borderId="40" xfId="0" applyNumberFormat="1" applyFont="1" applyFill="1" applyBorder="1" applyAlignment="1">
      <x:alignment horizontal="center" vertical="bottom" wrapText="1"/>
    </x:xf>
    <x:xf numFmtId="164" fontId="11" fillId="3" borderId="48" xfId="0" applyNumberFormat="1" applyFont="1" applyFill="1" applyBorder="1" applyAlignment="1">
      <x:alignment horizontal="center" vertical="bottom" wrapText="0"/>
    </x:xf>
    <x:xf numFmtId="164" fontId="11" fillId="3" borderId="64" xfId="0" applyNumberFormat="1" applyFont="1" applyFill="1" applyBorder="1" applyAlignment="1">
      <x:alignment horizontal="center" vertical="bottom" wrapText="1"/>
    </x:xf>
    <x:xf numFmtId="164" fontId="5" fillId="2" borderId="65" xfId="0" applyNumberFormat="1" applyFont="1" applyFill="1" applyBorder="1" applyAlignment="1">
      <x:alignment horizontal="center" vertical="bottom" wrapText="0"/>
    </x:xf>
    <x:xf numFmtId="164" fontId="5" fillId="2" borderId="43" xfId="0" applyNumberFormat="1" applyFont="1" applyFill="1" applyBorder="1" applyAlignment="1">
      <x:alignment horizontal="general" vertical="bottom" wrapText="0"/>
    </x:xf>
    <x:xf numFmtId="164" fontId="5" fillId="2" borderId="43" xfId="0" applyNumberFormat="1" applyFont="1" applyFill="1" applyBorder="1" applyAlignment="1">
      <x:alignment horizontal="center" vertical="bottom" wrapText="0"/>
    </x:xf>
    <x:xf numFmtId="164" fontId="5" fillId="2" borderId="66" xfId="0" applyNumberFormat="1" applyFont="1" applyFill="1" applyBorder="1" applyAlignment="1">
      <x:alignment horizontal="center" vertical="bottom" wrapText="0"/>
    </x:xf>
    <x:xf numFmtId="164" fontId="5" fillId="2" borderId="67" xfId="0" applyNumberFormat="1" applyFont="1" applyFill="1" applyBorder="1" applyAlignment="1">
      <x:alignment horizontal="center" vertical="bottom" wrapText="0"/>
    </x:xf>
    <x:xf numFmtId="164" fontId="22" fillId="3" borderId="68" xfId="0" applyNumberFormat="1" applyFont="1" applyFill="1" applyBorder="1" applyAlignment="1">
      <x:alignment horizontal="center" vertical="bottom" wrapText="0"/>
    </x:xf>
    <x:xf numFmtId="164" fontId="11" fillId="3" borderId="46" xfId="0" applyNumberFormat="1" applyFont="1" applyFill="1" applyBorder="1" applyAlignment="1">
      <x:alignment horizontal="general" vertical="bottom" wrapText="0"/>
    </x:xf>
    <x:xf numFmtId="164" fontId="22" fillId="3" borderId="46" xfId="0" applyNumberFormat="1" applyFont="1" applyFill="1" applyBorder="1" applyAlignment="1">
      <x:alignment horizontal="center" vertical="bottom" wrapText="0"/>
    </x:xf>
    <x:xf numFmtId="164" fontId="22" fillId="3" borderId="69" xfId="0" applyNumberFormat="1" applyFont="1" applyFill="1" applyBorder="1" applyAlignment="1">
      <x:alignment horizontal="center" vertical="bottom" wrapText="0"/>
    </x:xf>
    <x:xf numFmtId="164" fontId="5" fillId="2" borderId="35" xfId="0" applyNumberFormat="1" applyFont="1" applyFill="1" applyBorder="1" applyAlignment="1">
      <x:alignment horizontal="center" vertical="bottom" wrapText="0"/>
    </x:xf>
    <x:xf numFmtId="169" fontId="5" fillId="2" borderId="35" xfId="0" applyNumberFormat="1" applyFont="1" applyFill="1" applyBorder="1" applyAlignment="1">
      <x:alignment horizontal="center" vertical="bottom" wrapText="0"/>
    </x:xf>
    <x:xf numFmtId="170" fontId="5" fillId="2" borderId="35" xfId="0" applyNumberFormat="1" applyFont="1" applyFill="1" applyBorder="1" applyAlignment="1">
      <x:alignment horizontal="center" vertical="bottom" wrapText="0"/>
    </x:xf>
    <x:xf numFmtId="171" fontId="23" fillId="2" borderId="35" xfId="0" applyNumberFormat="1" applyFont="1" applyFill="1" applyBorder="1" applyAlignment="1">
      <x:alignment horizontal="right" vertical="bottom" wrapText="1"/>
    </x:xf>
    <x:xf numFmtId="164" fontId="11" fillId="6" borderId="2" xfId="0" applyNumberFormat="1" applyFont="1" applyFill="1" applyBorder="1" applyAlignment="1">
      <x:alignment horizontal="center" vertical="center" wrapText="1"/>
    </x:xf>
    <x:xf numFmtId="164" fontId="11" fillId="6" borderId="23" xfId="0" applyNumberFormat="1" applyFont="1" applyFill="1" applyBorder="1" applyAlignment="1">
      <x:alignment horizontal="center" vertical="center" wrapText="1"/>
    </x:xf>
    <x:xf numFmtId="164" fontId="11" fillId="6" borderId="37" xfId="0" applyNumberFormat="1" applyFont="1" applyFill="1" applyBorder="1" applyAlignment="1">
      <x:alignment horizontal="center" vertical="center" wrapText="1"/>
    </x:xf>
    <x:xf numFmtId="164" fontId="11" fillId="6" borderId="58" xfId="0" applyNumberFormat="1" applyFont="1" applyFill="1" applyBorder="1" applyAlignment="1">
      <x:alignment horizontal="center" vertical="center" wrapText="1"/>
    </x:xf>
    <x:xf numFmtId="164" fontId="20" fillId="2" borderId="15" xfId="0" applyNumberFormat="1" applyFont="1" applyFill="1" applyBorder="1" applyAlignment="1">
      <x:alignment horizontal="left" vertical="bottom" wrapText="1"/>
    </x:xf>
    <x:xf numFmtId="164" fontId="20" fillId="2" borderId="17" xfId="0" applyNumberFormat="1" applyFont="1" applyFill="1" applyBorder="1" applyAlignment="1">
      <x:alignment horizontal="left" vertical="bottom" wrapText="1"/>
    </x:xf>
    <x:xf numFmtId="164" fontId="14" fillId="2" borderId="17" xfId="0" applyNumberFormat="1" applyFont="1" applyFill="1" applyBorder="1" applyAlignment="1">
      <x:alignment horizontal="center" vertical="center" wrapText="0"/>
    </x:xf>
    <x:xf numFmtId="164" fontId="14" fillId="2" borderId="2" xfId="0" applyNumberFormat="1" applyFont="1" applyFill="1" applyBorder="1" applyAlignment="1">
      <x:alignment horizontal="center" vertical="center" wrapText="1"/>
    </x:xf>
    <x:xf numFmtId="164" fontId="14" fillId="2" borderId="1" xfId="0" applyNumberFormat="1" applyFont="1" applyFill="1" applyBorder="1" applyAlignment="1">
      <x:alignment horizontal="center" vertical="center" wrapText="1"/>
    </x:xf>
    <x:xf numFmtId="164" fontId="14" fillId="2" borderId="16" xfId="0" applyNumberFormat="1" applyFont="1" applyFill="1" applyBorder="1" applyAlignment="1">
      <x:alignment horizontal="center" vertical="center" wrapText="1"/>
    </x:xf>
    <x:xf numFmtId="164" fontId="20" fillId="5" borderId="1" xfId="0" applyNumberFormat="1" applyFont="1" applyFill="1" applyBorder="1" applyAlignment="1">
      <x:alignment horizontal="left" vertical="center" wrapText="1"/>
    </x:xf>
    <x:xf numFmtId="164" fontId="20" fillId="5" borderId="24" xfId="0" applyNumberFormat="1" applyFont="1" applyFill="1" applyBorder="1" applyAlignment="1">
      <x:alignment horizontal="left" vertical="center" wrapText="1"/>
    </x:xf>
    <x:xf numFmtId="164" fontId="20" fillId="5" borderId="3" xfId="0" applyNumberFormat="1" applyFont="1" applyFill="1" applyBorder="1" applyAlignment="1">
      <x:alignment horizontal="left" vertical="center" wrapText="1"/>
    </x:xf>
    <x:xf numFmtId="164" fontId="5" fillId="2" borderId="2" xfId="0" applyNumberFormat="1" applyFont="1" applyFill="1" applyBorder="1" applyAlignment="1">
      <x:alignment horizontal="general" vertical="top" wrapText="1"/>
    </x:xf>
    <x:xf numFmtId="164" fontId="10" fillId="2" borderId="2" xfId="0" applyNumberFormat="1" applyFont="1" applyFill="1" applyBorder="1" applyAlignment="1">
      <x:alignment horizontal="general" vertical="top" wrapText="1"/>
    </x:xf>
    <x:xf numFmtId="164" fontId="10" fillId="2" borderId="2" xfId="0" applyNumberFormat="1" applyFont="1" applyFill="1" applyBorder="1" applyAlignment="1">
      <x:alignment horizontal="left" vertical="top" wrapText="1"/>
    </x:xf>
    <x:xf numFmtId="164" fontId="19" fillId="2" borderId="2" xfId="0" applyNumberFormat="1" applyFont="1" applyFill="1" applyBorder="1" applyAlignment="1">
      <x:alignment horizontal="left" vertical="top" wrapText="1"/>
    </x:xf>
    <x:xf numFmtId="164" fontId="5" fillId="2" borderId="2"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20" fillId="5" borderId="36" xfId="0" applyNumberFormat="1" applyFont="1" applyFill="1" applyBorder="1" applyAlignment="1">
      <x:alignment horizontal="left" vertical="center" wrapText="1"/>
    </x:xf>
    <x:xf numFmtId="164" fontId="20" fillId="5" borderId="59" xfId="0" applyNumberFormat="1" applyFont="1" applyFill="1" applyBorder="1" applyAlignment="1">
      <x:alignment horizontal="left" vertical="center" wrapText="1"/>
    </x:xf>
    <x:xf numFmtId="164" fontId="20" fillId="5" borderId="38" xfId="0" applyNumberFormat="1" applyFont="1" applyFill="1" applyBorder="1" applyAlignment="1">
      <x:alignment horizontal="left" vertical="center" wrapText="1"/>
    </x:xf>
    <x:xf numFmtId="164" fontId="5" fillId="2" borderId="37" xfId="0" applyNumberFormat="1" applyFont="1" applyFill="1" applyBorder="1" applyAlignment="1">
      <x:alignment horizontal="general" vertical="bottom" wrapText="1"/>
    </x:xf>
    <x:xf numFmtId="164" fontId="0" fillId="0" borderId="35" xfId="0" applyNumberFormat="1" applyFont="1" applyFill="1" applyBorder="1" applyAlignment="1">
      <x:alignment horizontal="general" vertical="bottom" wrapText="1"/>
    </x:xf>
    <x:xf numFmtId="164" fontId="20" fillId="5" borderId="1" xfId="0" applyNumberFormat="1" applyFont="1" applyFill="1" applyBorder="1" applyAlignment="1">
      <x:alignment horizontal="left" vertical="top" wrapText="1"/>
    </x:xf>
    <x:xf numFmtId="164" fontId="20" fillId="5" borderId="24" xfId="0" applyNumberFormat="1" applyFont="1" applyFill="1" applyBorder="1" applyAlignment="1">
      <x:alignment horizontal="left" vertical="top" wrapText="1"/>
    </x:xf>
    <x:xf numFmtId="164" fontId="20" fillId="5" borderId="3" xfId="0" applyNumberFormat="1" applyFont="1" applyFill="1" applyBorder="1" applyAlignment="1">
      <x:alignment horizontal="left" vertical="top" wrapText="1"/>
    </x:xf>
    <x:xf numFmtId="164" fontId="0" fillId="0" borderId="0" xfId="0" applyNumberFormat="1" applyFont="1" applyFill="1" applyBorder="1" applyAlignment="1">
      <x:alignment horizontal="general" vertical="top" wrapText="1"/>
    </x:xf>
    <x:xf numFmtId="164" fontId="20" fillId="5" borderId="36" xfId="0" applyNumberFormat="1" applyFont="1" applyFill="1" applyBorder="1" applyAlignment="1">
      <x:alignment horizontal="left" vertical="top" wrapText="1"/>
    </x:xf>
    <x:xf numFmtId="164" fontId="20" fillId="5" borderId="59" xfId="0" applyNumberFormat="1" applyFont="1" applyFill="1" applyBorder="1" applyAlignment="1">
      <x:alignment horizontal="left" vertical="top" wrapText="1"/>
    </x:xf>
    <x:xf numFmtId="164" fontId="20" fillId="5" borderId="38" xfId="0" applyNumberFormat="1" applyFont="1" applyFill="1" applyBorder="1" applyAlignment="1">
      <x:alignment horizontal="left" vertical="top" wrapText="1"/>
    </x:xf>
    <x:xf numFmtId="164" fontId="0" fillId="0" borderId="35" xfId="0" applyNumberFormat="1" applyFont="1" applyFill="1" applyBorder="1" applyAlignment="1">
      <x:alignment horizontal="general" vertical="top" wrapText="1"/>
    </x:xf>
    <x:xf numFmtId="200" fontId="20" fillId="5" borderId="24" xfId="0" applyNumberFormat="1" applyFont="1" applyFill="1" applyBorder="1" applyAlignment="1">
      <x:alignment horizontal="left" vertical="top" wrapText="1"/>
    </x:xf>
    <x:xf numFmtId="200" fontId="5" fillId="2" borderId="2" xfId="0" applyNumberFormat="1" applyFont="1" applyFill="1" applyBorder="1" applyAlignment="1">
      <x:alignment horizontal="general" vertical="top" wrapText="1"/>
    </x:xf>
    <x:xf numFmtId="200" fontId="0" fillId="0" borderId="0" xfId="0" applyNumberFormat="1" applyFont="1" applyFill="1" applyBorder="1" applyAlignment="1">
      <x:alignment horizontal="general" vertical="top" wrapText="1"/>
    </x:xf>
    <x:xf numFmtId="200" fontId="20" fillId="5" borderId="59" xfId="0" applyNumberFormat="1" applyFont="1" applyFill="1" applyBorder="1" applyAlignment="1">
      <x:alignment horizontal="left" vertical="top" wrapText="1"/>
    </x:xf>
    <x:xf numFmtId="200" fontId="5" fillId="2" borderId="37" xfId="0" applyNumberFormat="1" applyFont="1" applyFill="1" applyBorder="1" applyAlignment="1">
      <x:alignment horizontal="general" vertical="top" wrapText="1"/>
    </x:xf>
    <x:xf numFmtId="200" fontId="0" fillId="0" borderId="35" xfId="0" applyNumberFormat="1" applyFont="1" applyFill="1" applyBorder="1" applyAlignment="1">
      <x:alignment horizontal="general" vertical="top" wrapText="1"/>
    </x:xf>
    <x:xf numFmtId="164" fontId="20" fillId="7" borderId="1" xfId="0" applyNumberFormat="1" applyFont="1" applyFill="1" applyBorder="1" applyAlignment="1">
      <x:alignment horizontal="left" vertical="top" wrapText="1"/>
    </x:xf>
    <x:xf numFmtId="164" fontId="20" fillId="7" borderId="24" xfId="0" applyNumberFormat="1" applyFont="1" applyFill="1" applyBorder="1" applyAlignment="1">
      <x:alignment horizontal="left" vertical="top" wrapText="1"/>
    </x:xf>
    <x:xf numFmtId="200" fontId="20" fillId="7" borderId="24" xfId="0" applyNumberFormat="1" applyFont="1" applyFill="1" applyBorder="1" applyAlignment="1">
      <x:alignment horizontal="left" vertical="top" wrapText="1"/>
    </x:xf>
    <x:xf numFmtId="164" fontId="20" fillId="7" borderId="3" xfId="0" applyNumberFormat="1" applyFont="1" applyFill="1" applyBorder="1" applyAlignment="1">
      <x:alignment horizontal="left" vertical="top" wrapText="1"/>
    </x:xf>
    <x:xf numFmtId="164" fontId="20" fillId="7" borderId="1" xfId="0" applyNumberFormat="1" applyFont="1" applyFill="1" applyBorder="1" applyAlignment="1">
      <x:alignment horizontal="left" vertical="center" wrapText="1"/>
    </x:xf>
    <x:xf numFmtId="164" fontId="20" fillId="7" borderId="24" xfId="0" applyNumberFormat="1" applyFont="1" applyFill="1" applyBorder="1" applyAlignment="1">
      <x:alignment horizontal="left" vertical="center" wrapText="1"/>
    </x:xf>
    <x:xf numFmtId="200" fontId="20" fillId="7" borderId="24" xfId="0" applyNumberFormat="1" applyFont="1" applyFill="1" applyBorder="1" applyAlignment="1">
      <x:alignment horizontal="left" vertical="center" wrapText="1"/>
    </x:xf>
    <x:xf numFmtId="164" fontId="20" fillId="7" borderId="3" xfId="0" applyNumberFormat="1" applyFont="1" applyFill="1" applyBorder="1" applyAlignment="1">
      <x:alignment horizontal="left" vertical="center" wrapText="1"/>
    </x:xf>
    <x:xf numFmtId="164" fontId="20" fillId="7" borderId="36" xfId="0" applyNumberFormat="1" applyFont="1" applyFill="1" applyBorder="1" applyAlignment="1">
      <x:alignment horizontal="left" vertical="top" wrapText="1"/>
    </x:xf>
    <x:xf numFmtId="164" fontId="20" fillId="7" borderId="59" xfId="0" applyNumberFormat="1" applyFont="1" applyFill="1" applyBorder="1" applyAlignment="1">
      <x:alignment horizontal="left" vertical="top" wrapText="1"/>
    </x:xf>
    <x:xf numFmtId="200" fontId="20" fillId="7" borderId="59" xfId="0" applyNumberFormat="1" applyFont="1" applyFill="1" applyBorder="1" applyAlignment="1">
      <x:alignment horizontal="left" vertical="top" wrapText="1"/>
    </x:xf>
    <x:xf numFmtId="164" fontId="20" fillId="7" borderId="38" xfId="0" applyNumberFormat="1" applyFont="1" applyFill="1" applyBorder="1" applyAlignment="1">
      <x:alignment horizontal="left" vertical="top" wrapText="1"/>
    </x:xf>
    <x:xf numFmtId="164" fontId="20" fillId="7" borderId="36" xfId="0" applyNumberFormat="1" applyFont="1" applyFill="1" applyBorder="1" applyAlignment="1">
      <x:alignment horizontal="left" vertical="center" wrapText="1"/>
    </x:xf>
    <x:xf numFmtId="164" fontId="20" fillId="7" borderId="59" xfId="0" applyNumberFormat="1" applyFont="1" applyFill="1" applyBorder="1" applyAlignment="1">
      <x:alignment horizontal="left" vertical="center" wrapText="1"/>
    </x:xf>
    <x:xf numFmtId="200" fontId="20" fillId="7" borderId="59" xfId="0" applyNumberFormat="1" applyFont="1" applyFill="1" applyBorder="1" applyAlignment="1">
      <x:alignment horizontal="left" vertical="center" wrapText="1"/>
    </x:xf>
    <x:xf numFmtId="164" fontId="20" fillId="7" borderId="38" xfId="0" applyNumberFormat="1" applyFont="1" applyFill="1" applyBorder="1" applyAlignment="1">
      <x:alignment horizontal="left" vertical="center" wrapText="1"/>
    </x:xf>
    <x:xf numFmtId="164" fontId="0" fillId="7" borderId="0" xfId="0" applyNumberFormat="1" applyFont="1" applyFill="1" applyBorder="1" applyAlignment="1">
      <x:alignment horizontal="general" vertical="top" wrapText="1"/>
    </x:xf>
    <x:xf numFmtId="200" fontId="0" fillId="7" borderId="0" xfId="0" applyNumberFormat="1" applyFont="1" applyFill="1" applyBorder="1" applyAlignment="1">
      <x:alignment horizontal="general" vertical="top" wrapText="1"/>
    </x:xf>
    <x:xf numFmtId="164" fontId="24" fillId="7" borderId="0" xfId="0" applyNumberFormat="1" applyFont="1" applyFill="1" applyBorder="1" applyAlignment="1">
      <x:alignment horizontal="general" vertical="top" wrapText="1"/>
    </x:xf>
    <x:xf numFmtId="200" fontId="24" fillId="7" borderId="0" xfId="0" applyNumberFormat="1" applyFont="1" applyFill="1" applyBorder="1" applyAlignment="1">
      <x:alignment horizontal="general" vertical="top" wrapText="1"/>
    </x:xf>
    <x:xf numFmtId="164" fontId="24" fillId="7" borderId="0" xfId="0" applyNumberFormat="1" applyFont="1" applyFill="1" applyBorder="1" applyAlignment="1">
      <x:alignment horizontal="general" vertical="center" wrapText="1"/>
    </x:xf>
    <x:xf numFmtId="200" fontId="24" fillId="7" borderId="0" xfId="0" applyNumberFormat="1" applyFont="1" applyFill="1" applyBorder="1" applyAlignment="1">
      <x:alignment horizontal="general" vertical="center" wrapText="1"/>
    </x:xf>
    <x:xf numFmtId="164" fontId="0" fillId="7" borderId="35" xfId="0" applyNumberFormat="1" applyFont="1" applyFill="1" applyBorder="1" applyAlignment="1">
      <x:alignment horizontal="general" vertical="top" wrapText="1"/>
    </x:xf>
    <x:xf numFmtId="200" fontId="0" fillId="7" borderId="35" xfId="0" applyNumberFormat="1" applyFont="1" applyFill="1" applyBorder="1" applyAlignment="1">
      <x:alignment horizontal="general" vertical="top" wrapText="1"/>
    </x:xf>
    <x:xf numFmtId="164" fontId="24" fillId="7" borderId="35" xfId="0" applyNumberFormat="1" applyFont="1" applyFill="1" applyBorder="1" applyAlignment="1">
      <x:alignment horizontal="general" vertical="top" wrapText="1"/>
    </x:xf>
    <x:xf numFmtId="200" fontId="24" fillId="7" borderId="35" xfId="0" applyNumberFormat="1" applyFont="1" applyFill="1" applyBorder="1" applyAlignment="1">
      <x:alignment horizontal="general" vertical="top" wrapText="1"/>
    </x:xf>
    <x:xf numFmtId="164" fontId="24" fillId="7" borderId="35" xfId="0" applyNumberFormat="1" applyFont="1" applyFill="1" applyBorder="1" applyAlignment="1">
      <x:alignment horizontal="general" vertical="center" wrapText="1"/>
    </x:xf>
    <x:xf numFmtId="200" fontId="24" fillId="7" borderId="35" xfId="0" applyNumberFormat="1" applyFont="1" applyFill="1" applyBorder="1" applyAlignment="1">
      <x:alignment horizontal="general" vertical="center" wrapText="1"/>
    </x:xf>
    <x:xf numFmtId="164" fontId="19" fillId="2" borderId="2" xfId="0" applyNumberFormat="1" applyFont="1" applyFill="1" applyBorder="1" applyAlignment="1">
      <x:alignment horizontal="general" vertical="top" wrapText="1"/>
    </x:xf>
    <x:xf numFmtId="164" fontId="20" fillId="0" borderId="26" xfId="0" applyNumberFormat="1" applyFont="1" applyFill="1" applyBorder="1" applyAlignment="1">
      <x:alignment horizontal="left" vertical="center" wrapText="1"/>
    </x:xf>
    <x:xf numFmtId="164" fontId="5" fillId="2" borderId="0" xfId="0" applyNumberFormat="1" applyFont="1" applyFill="1" applyBorder="1" applyAlignment="1">
      <x:alignment horizontal="general" vertical="top" wrapText="1"/>
    </x:xf>
    <x:xf numFmtId="164" fontId="20" fillId="0" borderId="61" xfId="0" applyNumberFormat="1" applyFont="1" applyFill="1" applyBorder="1" applyAlignment="1">
      <x:alignment horizontal="left" vertical="center" wrapText="1"/>
    </x:xf>
    <x:xf numFmtId="164" fontId="20" fillId="0" borderId="26" xfId="0" applyNumberFormat="1" applyFont="1" applyFill="1" applyBorder="1" applyAlignment="1">
      <x:alignment horizontal="left" vertical="top" wrapText="1"/>
    </x:xf>
    <x:xf numFmtId="164" fontId="20" fillId="0" borderId="61" xfId="0" applyNumberFormat="1" applyFont="1" applyFill="1" applyBorder="1" applyAlignment="1">
      <x:alignment horizontal="left" vertical="top" wrapText="1"/>
    </x:xf>
    <x:xf numFmtId="164" fontId="0" fillId="6" borderId="0" xfId="0" applyNumberFormat="1" applyFont="1" applyFill="1" applyBorder="1" applyAlignment="1">
      <x:alignment horizontal="general" vertical="bottom" wrapText="0"/>
    </x:xf>
    <x:xf numFmtId="164" fontId="25" fillId="6" borderId="0" xfId="0" applyNumberFormat="1" applyFont="1" applyFill="1" applyBorder="1" applyAlignment="1">
      <x:alignment horizontal="general" vertical="bottom" wrapText="0"/>
    </x:xf>
    <x:xf numFmtId="164" fontId="25" fillId="6" borderId="0" xfId="0" applyNumberFormat="1" applyFont="1" applyFill="1" applyBorder="1" applyAlignment="1">
      <x:alignment horizontal="general" vertical="bottom" wrapText="1"/>
    </x:xf>
    <x:xf numFmtId="164" fontId="25" fillId="6" borderId="0" xfId="0" applyNumberFormat="1" applyFont="1" applyFill="1" applyBorder="1" applyAlignment="1">
      <x:alignment horizontal="center" vertical="bottom" wrapText="1"/>
    </x:xf>
    <x:xf numFmtId="164" fontId="25" fillId="6" borderId="0" xfId="0" applyNumberFormat="1" applyFont="1" applyFill="1" applyBorder="1" applyAlignment="1">
      <x:alignment horizontal="center" vertical="center" wrapText="1"/>
    </x:xf>
    <x:xf numFmtId="164" fontId="0" fillId="6" borderId="35" xfId="0" applyNumberFormat="1" applyFont="1" applyFill="1" applyBorder="1" applyAlignment="1">
      <x:alignment horizontal="general" vertical="bottom" wrapText="0"/>
    </x:xf>
    <x:xf numFmtId="164" fontId="25" fillId="6" borderId="35" xfId="0" applyNumberFormat="1" applyFont="1" applyFill="1" applyBorder="1" applyAlignment="1">
      <x:alignment horizontal="general" vertical="bottom" wrapText="0"/>
    </x:xf>
    <x:xf numFmtId="164" fontId="25" fillId="6" borderId="35" xfId="0" applyNumberFormat="1" applyFont="1" applyFill="1" applyBorder="1" applyAlignment="1">
      <x:alignment horizontal="general" vertical="bottom" wrapText="1"/>
    </x:xf>
    <x:xf numFmtId="164" fontId="25" fillId="6" borderId="35" xfId="0" applyNumberFormat="1" applyFont="1" applyFill="1" applyBorder="1" applyAlignment="1">
      <x:alignment horizontal="center" vertical="bottom" wrapText="1"/>
    </x:xf>
    <x:xf numFmtId="164" fontId="25" fillId="6" borderId="35" xfId="0" applyNumberFormat="1" applyFont="1" applyFill="1" applyBorder="1" applyAlignment="1">
      <x:alignment horizontal="center" vertical="center" wrapText="1"/>
    </x:xf>
    <x:xf numFmtId="164" fontId="24" fillId="0" borderId="0" xfId="0" applyNumberFormat="1" applyFont="1" applyFill="1" applyBorder="1" applyAlignment="1">
      <x:alignment horizontal="general" vertical="bottom" wrapText="0"/>
    </x:xf>
    <x:xf numFmtId="164" fontId="24" fillId="0" borderId="35" xfId="0" applyNumberFormat="1" applyFont="1" applyFill="1" applyBorder="1" applyAlignment="1">
      <x:alignment horizontal="general" vertical="bottom" wrapText="0"/>
    </x:xf>
    <x:xf numFmtId="164" fontId="24" fillId="0" borderId="0" xfId="0" applyNumberFormat="1" applyFont="1" applyFill="1" applyBorder="1" applyAlignment="1">
      <x:alignment horizontal="center" vertical="bottom" wrapText="0"/>
    </x:xf>
    <x:xf numFmtId="164" fontId="24" fillId="0" borderId="0" xfId="0" applyNumberFormat="1" applyFont="1" applyFill="1" applyBorder="1" applyAlignment="1">
      <x:alignment horizontal="center" vertical="center" wrapText="0"/>
    </x:xf>
    <x:xf numFmtId="164" fontId="24" fillId="0" borderId="35" xfId="0" applyNumberFormat="1" applyFont="1" applyFill="1" applyBorder="1" applyAlignment="1">
      <x:alignment horizontal="center" vertical="bottom" wrapText="0"/>
    </x:xf>
    <x:xf numFmtId="164" fontId="24" fillId="0" borderId="35" xfId="0" applyNumberFormat="1" applyFont="1" applyFill="1" applyBorder="1" applyAlignment="1">
      <x:alignment horizontal="center" vertical="center" wrapText="0"/>
    </x:xf>
    <x:xf numFmtId="168" fontId="11" fillId="6" borderId="4" xfId="0" applyNumberFormat="1" applyFont="1" applyFill="1" applyBorder="1" applyAlignment="1">
      <x:alignment horizontal="center" vertical="center" wrapText="0"/>
    </x:xf>
    <x:xf numFmtId="164" fontId="11" fillId="6" borderId="5" xfId="0" applyNumberFormat="1" applyFont="1" applyFill="1" applyBorder="1" applyAlignment="1">
      <x:alignment horizontal="center" vertical="center" wrapText="0"/>
    </x:xf>
    <x:xf numFmtId="164" fontId="11" fillId="6" borderId="13" xfId="0" applyNumberFormat="1" applyFont="1" applyFill="1" applyBorder="1" applyAlignment="1">
      <x:alignment horizontal="center" vertical="center" wrapText="0"/>
    </x:xf>
    <x:xf numFmtId="164" fontId="11" fillId="6" borderId="6" xfId="0" applyNumberFormat="1" applyFont="1" applyFill="1" applyBorder="1" applyAlignment="1">
      <x:alignment horizontal="center" vertical="center" wrapText="0"/>
    </x:xf>
    <x:xf numFmtId="168" fontId="11" fillId="6" borderId="4" xfId="0" applyNumberFormat="1" applyFont="1" applyFill="1" applyBorder="1" applyAlignment="1">
      <x:alignment horizontal="center" vertical="center" wrapText="1"/>
    </x:xf>
    <x:xf numFmtId="164" fontId="11" fillId="6" borderId="5" xfId="0" applyNumberFormat="1" applyFont="1" applyFill="1" applyBorder="1" applyAlignment="1">
      <x:alignment horizontal="center" vertical="center" wrapText="1"/>
    </x:xf>
    <x:xf numFmtId="164" fontId="11" fillId="6" borderId="13" xfId="0" applyNumberFormat="1" applyFont="1" applyFill="1" applyBorder="1" applyAlignment="1">
      <x:alignment horizontal="center" vertical="center" wrapText="1"/>
    </x:xf>
    <x:xf numFmtId="164" fontId="11" fillId="6" borderId="6" xfId="0" applyNumberFormat="1" applyFont="1" applyFill="1" applyBorder="1" applyAlignment="1">
      <x:alignment horizontal="center" vertical="center" wrapText="1"/>
    </x:xf>
    <x:xf numFmtId="168" fontId="11" fillId="6" borderId="39" xfId="0" applyNumberFormat="1" applyFont="1" applyFill="1" applyBorder="1" applyAlignment="1">
      <x:alignment horizontal="center" vertical="center" wrapText="0"/>
    </x:xf>
    <x:xf numFmtId="164" fontId="11" fillId="6" borderId="40" xfId="0" applyNumberFormat="1" applyFont="1" applyFill="1" applyBorder="1" applyAlignment="1">
      <x:alignment horizontal="center" vertical="center" wrapText="0"/>
    </x:xf>
    <x:xf numFmtId="164" fontId="11" fillId="6" borderId="48" xfId="0" applyNumberFormat="1" applyFont="1" applyFill="1" applyBorder="1" applyAlignment="1">
      <x:alignment horizontal="center" vertical="center" wrapText="0"/>
    </x:xf>
    <x:xf numFmtId="164" fontId="11" fillId="6" borderId="41" xfId="0" applyNumberFormat="1" applyFont="1" applyFill="1" applyBorder="1" applyAlignment="1">
      <x:alignment horizontal="center" vertical="center" wrapText="0"/>
    </x:xf>
    <x:xf numFmtId="168" fontId="11" fillId="6" borderId="39" xfId="0" applyNumberFormat="1" applyFont="1" applyFill="1" applyBorder="1" applyAlignment="1">
      <x:alignment horizontal="center" vertical="center" wrapText="1"/>
    </x:xf>
    <x:xf numFmtId="164" fontId="11" fillId="6" borderId="40" xfId="0" applyNumberFormat="1" applyFont="1" applyFill="1" applyBorder="1" applyAlignment="1">
      <x:alignment horizontal="center" vertical="center" wrapText="1"/>
    </x:xf>
    <x:xf numFmtId="164" fontId="11" fillId="6" borderId="48" xfId="0" applyNumberFormat="1" applyFont="1" applyFill="1" applyBorder="1" applyAlignment="1">
      <x:alignment horizontal="center" vertical="center" wrapText="1"/>
    </x:xf>
    <x:xf numFmtId="164" fontId="11" fillId="6" borderId="41" xfId="0" applyNumberFormat="1" applyFont="1" applyFill="1" applyBorder="1" applyAlignment="1">
      <x:alignment horizontal="center" vertical="center" wrapText="1"/>
    </x:xf>
    <x:xf numFmtId="168" fontId="5" fillId="2" borderId="7" xfId="0" applyNumberFormat="1" applyFont="1" applyFill="1" applyBorder="1" applyAlignment="1">
      <x:alignment horizontal="general" vertical="center" wrapText="1"/>
    </x:xf>
    <x:xf numFmtId="166" fontId="5" fillId="2" borderId="8" xfId="0" applyNumberFormat="1" applyFont="1" applyFill="1" applyBorder="1" applyAlignment="1">
      <x:alignment horizontal="left" vertical="center" wrapText="1"/>
    </x:xf>
    <x:xf numFmtId="164" fontId="16" fillId="2" borderId="8" xfId="0" applyNumberFormat="1" applyFont="1" applyFill="1" applyBorder="1" applyAlignment="1">
      <x:alignment horizontal="left" vertical="center" wrapText="1"/>
    </x:xf>
    <x:xf numFmtId="164" fontId="5" fillId="2" borderId="9" xfId="0" applyNumberFormat="1" applyFont="1" applyFill="1" applyBorder="1" applyAlignment="1">
      <x:alignment horizontal="left" vertical="center" wrapText="1"/>
    </x:xf>
    <x:xf numFmtId="164" fontId="5" fillId="2" borderId="8" xfId="0" applyNumberFormat="1" applyFont="1" applyFill="1" applyBorder="1" applyAlignment="1">
      <x:alignment horizontal="left" vertical="center" wrapText="1"/>
    </x:xf>
    <x:xf numFmtId="168" fontId="5" fillId="2" borderId="42" xfId="0" applyNumberFormat="1" applyFont="1" applyFill="1" applyBorder="1" applyAlignment="1">
      <x:alignment horizontal="general" vertical="center" wrapText="1"/>
    </x:xf>
    <x:xf numFmtId="166" fontId="5" fillId="2" borderId="43" xfId="0" applyNumberFormat="1" applyFont="1" applyFill="1" applyBorder="1" applyAlignment="1">
      <x:alignment horizontal="left" vertical="center" wrapText="1"/>
    </x:xf>
    <x:xf numFmtId="164" fontId="16" fillId="2" borderId="43" xfId="0" applyNumberFormat="1" applyFont="1" applyFill="1" applyBorder="1" applyAlignment="1">
      <x:alignment horizontal="left" vertical="center" wrapText="1"/>
    </x:xf>
    <x:xf numFmtId="164" fontId="5" fillId="2" borderId="44" xfId="0" applyNumberFormat="1" applyFont="1" applyFill="1" applyBorder="1" applyAlignment="1">
      <x:alignment horizontal="left" vertical="center" wrapText="1"/>
    </x:xf>
    <x:xf numFmtId="164" fontId="5" fillId="2" borderId="43" xfId="0" applyNumberFormat="1" applyFont="1" applyFill="1" applyBorder="1" applyAlignment="1">
      <x:alignment horizontal="left" vertical="center" wrapText="1"/>
    </x:xf>
    <x:xf numFmtId="200" fontId="9" fillId="2" borderId="2" xfId="0" applyNumberFormat="1" applyFont="1" applyFill="1" applyBorder="1" applyAlignment="1">
      <x:alignment horizontal="left" vertical="bottom" wrapText="0"/>
    </x:xf>
    <x:xf numFmtId="200" fontId="9" fillId="2" borderId="37" xfId="0" applyNumberFormat="1" applyFont="1" applyFill="1" applyBorder="1" applyAlignment="1">
      <x:alignment horizontal="left" vertical="bottom" wrapText="0"/>
    </x:xf>
    <x:xf numFmtId="171" fontId="0" fillId="0" borderId="0" xfId="0" applyNumberFormat="1" applyFont="1" applyFill="1" applyBorder="1" applyAlignment="1">
      <x:alignment horizontal="general" vertical="bottom" wrapText="0"/>
    </x:xf>
    <x:xf numFmtId="171" fontId="0" fillId="0" borderId="35" xfId="0" applyNumberFormat="1" applyFont="1" applyFill="1" applyBorder="1" applyAlignment="1">
      <x:alignment horizontal="general" vertical="bottom" wrapText="0"/>
    </x:xf>
    <x:xf numFmtId="164" fontId="5" fillId="6" borderId="0" xfId="0" applyNumberFormat="1" applyFont="1" applyFill="1" applyBorder="1" applyAlignment="1">
      <x:alignment horizontal="general" vertical="bottom" wrapText="0"/>
    </x:xf>
    <x:xf numFmtId="164" fontId="11" fillId="6" borderId="0" xfId="0" applyNumberFormat="1" applyFont="1" applyFill="1" applyBorder="1" applyAlignment="1">
      <x:alignment horizontal="general" vertical="bottom" wrapText="0"/>
    </x:xf>
    <x:xf numFmtId="164" fontId="11" fillId="6" borderId="0" xfId="0" applyNumberFormat="1" applyFont="1" applyFill="1" applyBorder="1" applyAlignment="1">
      <x:alignment horizontal="general" vertical="bottom" wrapText="1"/>
    </x:xf>
    <x:xf numFmtId="164" fontId="11" fillId="6" borderId="0" xfId="0" applyNumberFormat="1" applyFont="1" applyFill="1" applyBorder="1" applyAlignment="1">
      <x:alignment horizontal="center" vertical="bottom" wrapText="1"/>
    </x:xf>
    <x:xf numFmtId="164" fontId="5" fillId="6" borderId="35" xfId="0" applyNumberFormat="1" applyFont="1" applyFill="1" applyBorder="1" applyAlignment="1">
      <x:alignment horizontal="general" vertical="bottom" wrapText="0"/>
    </x:xf>
    <x:xf numFmtId="164" fontId="11" fillId="6" borderId="35" xfId="0" applyNumberFormat="1" applyFont="1" applyFill="1" applyBorder="1" applyAlignment="1">
      <x:alignment horizontal="general" vertical="bottom" wrapText="0"/>
    </x:xf>
    <x:xf numFmtId="164" fontId="11" fillId="6" borderId="35" xfId="0" applyNumberFormat="1" applyFont="1" applyFill="1" applyBorder="1" applyAlignment="1">
      <x:alignment horizontal="general" vertical="bottom" wrapText="1"/>
    </x:xf>
    <x:xf numFmtId="164" fontId="11" fillId="6" borderId="35" xfId="0" applyNumberFormat="1" applyFont="1" applyFill="1" applyBorder="1" applyAlignment="1">
      <x:alignment horizontal="center" vertical="bottom" wrapText="1"/>
    </x:xf>
    <x:xf numFmtId="164" fontId="9" fillId="2" borderId="2" xfId="0" applyNumberFormat="1" applyFont="1" applyFill="1" applyBorder="1" applyAlignment="1">
      <x:alignment horizontal="left" vertical="center" wrapText="1"/>
    </x:xf>
    <x:xf numFmtId="164" fontId="10" fillId="2" borderId="2" xfId="0" applyNumberFormat="1" applyFont="1" applyFill="1" applyBorder="1" applyAlignment="1">
      <x:alignment horizontal="left" vertical="bottom" wrapText="1"/>
    </x:xf>
    <x:xf numFmtId="164" fontId="9" fillId="2" borderId="2" xfId="0" applyNumberFormat="1" applyFont="1" applyFill="1" applyBorder="1" applyAlignment="1">
      <x:alignment horizontal="left" vertical="bottom" wrapText="1"/>
    </x:xf>
    <x:xf numFmtId="164" fontId="9" fillId="2" borderId="3" xfId="0" applyNumberFormat="1" applyFont="1" applyFill="1" applyBorder="1" applyAlignment="1">
      <x:alignment horizontal="left" vertical="bottom" wrapText="1"/>
    </x:xf>
    <x:xf numFmtId="164" fontId="5" fillId="2" borderId="3" xfId="0" applyNumberFormat="1" applyFont="1" applyFill="1" applyBorder="1" applyAlignment="1">
      <x:alignment horizontal="general" vertical="top" wrapText="1"/>
    </x:xf>
    <x:xf numFmtId="164" fontId="9" fillId="2" borderId="2" xfId="0" applyNumberFormat="1" applyFont="1" applyFill="1" applyBorder="1" applyAlignment="1">
      <x:alignment horizontal="general" vertical="center" wrapText="1"/>
    </x:xf>
    <x:xf numFmtId="200" fontId="9" fillId="2" borderId="2" xfId="0" applyNumberFormat="1" applyFont="1" applyFill="1" applyBorder="1" applyAlignment="1">
      <x:alignment horizontal="left" vertical="bottom" wrapText="1"/>
    </x:xf>
    <x:xf numFmtId="164" fontId="10" fillId="2" borderId="3" xfId="0" applyNumberFormat="1" applyFont="1" applyFill="1" applyBorder="1" applyAlignment="1">
      <x:alignment horizontal="general" vertical="top" wrapText="1"/>
    </x:xf>
    <x:xf numFmtId="164" fontId="9" fillId="2" borderId="0" xfId="0" applyNumberFormat="1" applyFont="1" applyFill="1" applyBorder="1" applyAlignment="1">
      <x:alignment horizontal="general" vertical="bottom" wrapText="1"/>
    </x:xf>
    <x:xf numFmtId="164" fontId="10" fillId="2" borderId="0" xfId="0" applyNumberFormat="1" applyFont="1" applyFill="1" applyBorder="1" applyAlignment="1">
      <x:alignment horizontal="general" vertical="bottom" wrapText="1"/>
    </x:xf>
    <x:xf numFmtId="164" fontId="5" fillId="2" borderId="0" xfId="0" applyNumberFormat="1" applyFont="1" applyFill="1" applyBorder="1" applyAlignment="1">
      <x:alignment horizontal="general" vertical="bottom" wrapText="1"/>
    </x:xf>
    <x:xf numFmtId="165" fontId="5" fillId="2" borderId="0" xfId="0" applyNumberFormat="1" applyFont="1" applyFill="1" applyBorder="1" applyAlignment="1">
      <x:alignment horizontal="general" vertical="bottom" wrapText="1"/>
    </x:xf>
    <x:xf numFmtId="164" fontId="11" fillId="3" borderId="28" xfId="0" applyNumberFormat="1" applyFont="1" applyFill="1" applyBorder="1" applyAlignment="1">
      <x:alignment horizontal="center" vertical="bottom" wrapText="1"/>
    </x:xf>
    <x:xf numFmtId="164" fontId="11" fillId="3" borderId="5" xfId="0" applyNumberFormat="1" applyFont="1" applyFill="1" applyBorder="1" applyAlignment="1">
      <x:alignment horizontal="center" vertical="bottom" wrapText="1"/>
    </x:xf>
    <x:xf numFmtId="164" fontId="11" fillId="3" borderId="13" xfId="0" applyNumberFormat="1" applyFont="1" applyFill="1" applyBorder="1" applyAlignment="1">
      <x:alignment horizontal="center" vertical="bottom" wrapText="1"/>
    </x:xf>
    <x:xf numFmtId="164" fontId="11" fillId="3" borderId="29" xfId="0" applyNumberFormat="1" applyFont="1" applyFill="1" applyBorder="1" applyAlignment="1">
      <x:alignment horizontal="center" vertical="bottom" wrapText="1"/>
    </x:xf>
    <x:xf numFmtId="164" fontId="5" fillId="2" borderId="30" xfId="0" applyNumberFormat="1" applyFont="1" applyFill="1" applyBorder="1" applyAlignment="1">
      <x:alignment horizontal="center" vertical="bottom" wrapText="1"/>
    </x:xf>
    <x:xf numFmtId="164" fontId="5" fillId="2" borderId="8" xfId="0" applyNumberFormat="1" applyFont="1" applyFill="1" applyBorder="1" applyAlignment="1">
      <x:alignment horizontal="general" vertical="bottom" wrapText="1"/>
    </x:xf>
    <x:xf numFmtId="164" fontId="5" fillId="2" borderId="8" xfId="0" applyNumberFormat="1" applyFont="1" applyFill="1" applyBorder="1" applyAlignment="1">
      <x:alignment horizontal="center" vertical="bottom" wrapText="1"/>
    </x:xf>
    <x:xf numFmtId="164" fontId="5" fillId="2" borderId="31" xfId="0" applyNumberFormat="1" applyFont="1" applyFill="1" applyBorder="1" applyAlignment="1">
      <x:alignment horizontal="center" vertical="bottom" wrapText="1"/>
    </x:xf>
    <x:xf numFmtId="164" fontId="5" fillId="2" borderId="32" xfId="0" applyNumberFormat="1" applyFont="1" applyFill="1" applyBorder="1" applyAlignment="1">
      <x:alignment horizontal="center" vertical="bottom" wrapText="1"/>
    </x:xf>
    <x:xf numFmtId="164" fontId="22" fillId="3" borderId="33" xfId="0" applyNumberFormat="1" applyFont="1" applyFill="1" applyBorder="1" applyAlignment="1">
      <x:alignment horizontal="center" vertical="bottom" wrapText="1"/>
    </x:xf>
    <x:xf numFmtId="164" fontId="11" fillId="3" borderId="11" xfId="0" applyNumberFormat="1" applyFont="1" applyFill="1" applyBorder="1" applyAlignment="1">
      <x:alignment horizontal="general" vertical="bottom" wrapText="1"/>
    </x:xf>
    <x:xf numFmtId="164" fontId="22" fillId="3" borderId="11" xfId="0" applyNumberFormat="1" applyFont="1" applyFill="1" applyBorder="1" applyAlignment="1">
      <x:alignment horizontal="center" vertical="bottom" wrapText="1"/>
    </x:xf>
    <x:xf numFmtId="164" fontId="22" fillId="3" borderId="34" xfId="0" applyNumberFormat="1" applyFont="1" applyFill="1" applyBorder="1" applyAlignment="1">
      <x:alignment horizontal="center" vertical="bottom" wrapText="1"/>
    </x:xf>
    <x:xf numFmtId="164" fontId="5" fillId="2" borderId="0" xfId="0" applyNumberFormat="1" applyFont="1" applyFill="1" applyBorder="1" applyAlignment="1">
      <x:alignment horizontal="center" vertical="bottom" wrapText="1"/>
    </x:xf>
    <x:xf numFmtId="169" fontId="5" fillId="2" borderId="0" xfId="0" applyNumberFormat="1" applyFont="1" applyFill="1" applyBorder="1" applyAlignment="1">
      <x:alignment horizontal="center" vertical="bottom" wrapText="1"/>
    </x:xf>
    <x:xf numFmtId="170" fontId="5" fillId="2" borderId="0" xfId="0" applyNumberFormat="1" applyFont="1" applyFill="1" applyBorder="1" applyAlignment="1">
      <x:alignment horizontal="center" vertical="bottom" wrapText="1"/>
    </x:xf>
    <x:xf numFmtId="164" fontId="9" fillId="2" borderId="0" xfId="0" applyNumberFormat="1" applyFont="1" applyFill="1" applyBorder="1" applyAlignment="1">
      <x:alignment horizontal="left" vertical="bottom" wrapText="1"/>
    </x:xf>
    <x:xf numFmtId="171" fontId="23" fillId="2" borderId="0" xfId="0" applyNumberFormat="1" applyFont="1" applyFill="1" applyBorder="1" applyAlignment="1">
      <x:alignment horizontal="right" vertical="bottom" wrapText="1"/>
    </x:xf>
    <x:xf numFmtId="164" fontId="19" fillId="2" borderId="0" xfId="0" applyNumberFormat="1" applyFont="1" applyFill="1" applyBorder="1" applyAlignment="1">
      <x:alignment horizontal="center" vertical="bottom" wrapText="1"/>
    </x:xf>
    <x:xf numFmtId="171"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0"/>
    </x:xf>
    <x:xf numFmtId="164" fontId="5" fillId="0" borderId="0" xfId="0" applyNumberFormat="1" applyFont="1" applyFill="1" applyBorder="1" applyAlignment="1">
      <x:alignment horizontal="general" vertical="bottom" wrapText="0"/>
    </x:xf>
    <x:xf numFmtId="164" fontId="5" fillId="0" borderId="0" xfId="0" applyNumberFormat="1" applyFont="1" applyFill="1" applyBorder="1" applyAlignment="1">
      <x:alignment horizontal="left" vertical="bottom" wrapText="0"/>
    </x:xf>
    <x:xf numFmtId="164" fontId="6" fillId="2" borderId="0" xfId="0" applyNumberFormat="1" applyFont="1" applyFill="1" applyBorder="1" applyAlignment="1">
      <x:alignment horizontal="center" vertical="center" wrapText="0"/>
    </x:xf>
    <x:xf numFmtId="164" fontId="7" fillId="0" borderId="1" xfId="0" applyNumberFormat="1" applyFont="1" applyFill="1" applyBorder="1" applyAlignment="1">
      <x:alignment horizontal="center" vertical="center" wrapText="0"/>
    </x:xf>
    <x:xf numFmtId="164" fontId="8" fillId="0" borderId="2" xfId="0" applyNumberFormat="1" applyFont="1" applyFill="1" applyBorder="1" applyAlignment="1">
      <x:alignment horizontal="center" vertical="center" wrapText="0"/>
    </x:xf>
    <x:xf numFmtId="164" fontId="9" fillId="2" borderId="0" xfId="0" applyNumberFormat="1" applyFont="1" applyFill="1" applyBorder="1" applyAlignment="1">
      <x:alignment horizontal="left" vertical="bottom" wrapText="0"/>
    </x:xf>
    <x:xf numFmtId="164" fontId="10" fillId="0" borderId="0" xfId="0" applyNumberFormat="1" applyFont="1" applyFill="1" applyBorder="1" applyAlignment="1">
      <x:alignment horizontal="left" vertical="bottom" wrapText="0"/>
    </x:xf>
    <x:xf numFmtId="164" fontId="5" fillId="2" borderId="0" xfId="0" applyNumberFormat="1" applyFont="1" applyFill="1" applyBorder="1" applyAlignment="1">
      <x:alignment horizontal="general" vertical="bottom" wrapText="0"/>
    </x:xf>
    <x:xf numFmtId="164" fontId="9" fillId="2" borderId="2" xfId="0" applyNumberFormat="1" applyFont="1" applyFill="1" applyBorder="1" applyAlignment="1">
      <x:alignment horizontal="left" vertical="bottom" wrapText="0"/>
    </x:xf>
    <x:xf numFmtId="164" fontId="10" fillId="0" borderId="2" xfId="0" applyNumberFormat="1" applyFont="1" applyFill="1" applyBorder="1" applyAlignment="1">
      <x:alignment horizontal="left" vertical="bottom" wrapText="0"/>
    </x:xf>
    <x:xf numFmtId="164" fontId="5" fillId="0" borderId="3" xfId="0" applyNumberFormat="1" applyFont="1" applyFill="1" applyBorder="1" applyAlignment="1">
      <x:alignment horizontal="general" vertical="bottom" wrapText="0"/>
    </x:xf>
    <x:xf numFmtId="164" fontId="9" fillId="2" borderId="2" xfId="0" applyNumberFormat="1" applyFont="1" applyFill="1" applyBorder="1" applyAlignment="1">
      <x:alignment horizontal="left" vertical="center" wrapText="0"/>
    </x:xf>
    <x:xf numFmtId="164" fontId="10" fillId="0" borderId="2" xfId="0" applyNumberFormat="1" applyFont="1" applyFill="1" applyBorder="1" applyAlignment="1">
      <x:alignment horizontal="left" vertical="center" wrapText="0"/>
    </x:xf>
    <x:xf numFmtId="164" fontId="10" fillId="0" borderId="3" xfId="0" applyNumberFormat="1" applyFont="1" applyFill="1" applyBorder="1" applyAlignment="1">
      <x:alignment horizontal="left" vertical="bottom" wrapText="0"/>
    </x:xf>
    <x:xf numFmtId="164" fontId="9" fillId="2" borderId="0" xfId="0" applyNumberFormat="1" applyFont="1" applyFill="1" applyBorder="1" applyAlignment="1">
      <x:alignment horizontal="general" vertical="bottom" wrapText="0"/>
    </x:xf>
    <x:xf numFmtId="164" fontId="9" fillId="0" borderId="0" xfId="0" applyNumberFormat="1" applyFont="1" applyFill="1" applyBorder="1" applyAlignment="1">
      <x:alignment horizontal="left" vertical="bottom" wrapText="0"/>
    </x:xf>
    <x:xf numFmtId="165" fontId="11" fillId="3" borderId="4" xfId="0" applyNumberFormat="1" applyFont="1" applyFill="1" applyBorder="1" applyAlignment="1">
      <x:alignment horizontal="center" vertical="center" wrapText="0"/>
    </x:xf>
    <x:xf numFmtId="164" fontId="11" fillId="3" borderId="5" xfId="0" applyNumberFormat="1" applyFont="1" applyFill="1" applyBorder="1" applyAlignment="1">
      <x:alignment horizontal="center" vertical="center" wrapText="0"/>
    </x:xf>
    <x:xf numFmtId="164" fontId="11" fillId="3" borderId="6" xfId="0" applyNumberFormat="1" applyFont="1" applyFill="1" applyBorder="1" applyAlignment="1">
      <x:alignment horizontal="center" vertical="center" wrapText="0"/>
    </x:xf>
    <x:xf numFmtId="164" fontId="10" fillId="0" borderId="7" xfId="0" applyNumberFormat="1" applyFont="1" applyFill="1" applyBorder="1" applyAlignment="1">
      <x:alignment horizontal="general" vertical="top" wrapText="1"/>
    </x:xf>
    <x:xf numFmtId="166" fontId="5" fillId="0" borderId="8" xfId="0" applyNumberFormat="1" applyFont="1" applyFill="1" applyBorder="1" applyAlignment="1">
      <x:alignment horizontal="general" vertical="top" wrapText="0"/>
    </x:xf>
    <x:xf numFmtId="164" fontId="5" fillId="0" borderId="8" xfId="0" applyNumberFormat="1" applyFont="1" applyFill="1" applyBorder="1" applyAlignment="1">
      <x:alignment horizontal="general" vertical="top" wrapText="0"/>
    </x:xf>
    <x:xf numFmtId="167" fontId="5" fillId="0" borderId="8" xfId="0" applyNumberFormat="1" applyFont="1" applyFill="1" applyBorder="1" applyAlignment="1">
      <x:alignment horizontal="general" vertical="top" wrapText="0"/>
    </x:xf>
    <x:xf numFmtId="164" fontId="10" fillId="0" borderId="9" xfId="0" applyNumberFormat="1" applyFont="1" applyFill="1" applyBorder="1" applyAlignment="1">
      <x:alignment horizontal="general" vertical="top" wrapText="1"/>
    </x:xf>
    <x:xf numFmtId="165" fontId="5" fillId="0" borderId="7" xfId="0" applyNumberFormat="1" applyFont="1" applyFill="1" applyBorder="1" applyAlignment="1">
      <x:alignment horizontal="general" vertical="top" wrapText="0"/>
    </x:xf>
    <x:xf numFmtId="164" fontId="5" fillId="0" borderId="9" xfId="0" applyNumberFormat="1" applyFont="1" applyFill="1" applyBorder="1" applyAlignment="1">
      <x:alignment horizontal="general" vertical="top" wrapText="0"/>
    </x:xf>
    <x:xf numFmtId="165" fontId="5" fillId="0" borderId="10" xfId="0" applyNumberFormat="1" applyFont="1" applyFill="1" applyBorder="1" applyAlignment="1">
      <x:alignment horizontal="general" vertical="top" wrapText="0"/>
    </x:xf>
    <x:xf numFmtId="166" fontId="5" fillId="0" borderId="11" xfId="0" applyNumberFormat="1" applyFont="1" applyFill="1" applyBorder="1" applyAlignment="1">
      <x:alignment horizontal="general" vertical="top" wrapText="0"/>
    </x:xf>
    <x:xf numFmtId="164" fontId="5" fillId="0" borderId="11" xfId="0" applyNumberFormat="1" applyFont="1" applyFill="1" applyBorder="1" applyAlignment="1">
      <x:alignment horizontal="general" vertical="top" wrapText="0"/>
    </x:xf>
    <x:xf numFmtId="164" fontId="5" fillId="0" borderId="12" xfId="0" applyNumberFormat="1" applyFont="1" applyFill="1" applyBorder="1" applyAlignment="1">
      <x:alignment horizontal="general" vertical="top" wrapText="0"/>
    </x:xf>
    <x:xf numFmtId="168" fontId="5" fillId="2" borderId="0" xfId="0" applyNumberFormat="1" applyFont="1" applyFill="1" applyBorder="1" applyAlignment="1">
      <x:alignment horizontal="general" vertical="bottom" wrapText="0"/>
    </x:xf>
    <x:xf numFmtId="164" fontId="5" fillId="2" borderId="0" xfId="0" applyNumberFormat="1" applyFont="1" applyFill="1" applyBorder="1" applyAlignment="1">
      <x:alignment horizontal="left" vertical="bottom" wrapText="0"/>
    </x:xf>
    <x:xf numFmtId="164" fontId="8" fillId="2" borderId="0" xfId="0" applyNumberFormat="1" applyFont="1" applyFill="1" applyBorder="1" applyAlignment="1">
      <x:alignment horizontal="left" vertical="bottom" wrapText="0"/>
    </x:xf>
    <x:xf numFmtId="164" fontId="14" fillId="2" borderId="0" xfId="0" applyNumberFormat="1" applyFont="1" applyFill="1" applyBorder="1" applyAlignment="1">
      <x:alignment horizontal="left" vertical="bottom" wrapText="0"/>
    </x:xf>
    <x:xf numFmtId="164" fontId="15" fillId="2" borderId="0" xfId="0" applyNumberFormat="1" applyFont="1" applyFill="1" applyBorder="1" applyAlignment="1">
      <x:alignment horizontal="left" vertical="bottom" wrapText="0"/>
    </x:xf>
    <x:xf numFmtId="168" fontId="9" fillId="2" borderId="1" xfId="0" applyNumberFormat="1" applyFont="1" applyFill="1" applyBorder="1" applyAlignment="1">
      <x:alignment horizontal="general" vertical="bottom" wrapText="0"/>
    </x:xf>
    <x:xf numFmtId="164" fontId="10" fillId="2" borderId="2" xfId="0" applyNumberFormat="1" applyFont="1" applyFill="1" applyBorder="1" applyAlignment="1">
      <x:alignment horizontal="left" vertical="bottom" wrapText="0"/>
    </x:xf>
    <x:xf numFmtId="168" fontId="9" fillId="2" borderId="2" xfId="0" applyNumberFormat="1" applyFont="1" applyFill="1" applyBorder="1" applyAlignment="1">
      <x:alignment horizontal="general" vertical="center" wrapText="1"/>
    </x:xf>
    <x:xf numFmtId="168" fontId="9" fillId="2" borderId="0" xfId="0" applyNumberFormat="1" applyFont="1" applyFill="1" applyBorder="1" applyAlignment="1">
      <x:alignment horizontal="general" vertical="bottom" wrapText="0"/>
    </x:xf>
    <x:xf numFmtId="168" fontId="5" fillId="2" borderId="0" xfId="0" applyNumberFormat="1" applyFont="1" applyFill="1" applyBorder="1" applyAlignment="1">
      <x:alignment horizontal="general" vertical="center" wrapText="0"/>
    </x:xf>
    <x:xf numFmtId="164" fontId="5" fillId="2" borderId="0" xfId="0" applyNumberFormat="1" applyFont="1" applyFill="1" applyBorder="1" applyAlignment="1">
      <x:alignment horizontal="left" vertical="center" wrapText="0"/>
    </x:xf>
    <x:xf numFmtId="168" fontId="11" fillId="4" borderId="4" xfId="0" applyNumberFormat="1" applyFont="1" applyFill="1" applyBorder="1" applyAlignment="1">
      <x:alignment horizontal="center" vertical="center" wrapText="0"/>
    </x:xf>
    <x:xf numFmtId="164" fontId="11" fillId="4" borderId="5" xfId="0" applyNumberFormat="1" applyFont="1" applyFill="1" applyBorder="1" applyAlignment="1">
      <x:alignment horizontal="center" vertical="center" wrapText="0"/>
    </x:xf>
    <x:xf numFmtId="164" fontId="11" fillId="4" borderId="13" xfId="0" applyNumberFormat="1" applyFont="1" applyFill="1" applyBorder="1" applyAlignment="1">
      <x:alignment horizontal="center" vertical="center" wrapText="0"/>
    </x:xf>
    <x:xf numFmtId="164" fontId="11" fillId="4" borderId="6" xfId="0" applyNumberFormat="1" applyFont="1" applyFill="1" applyBorder="1" applyAlignment="1">
      <x:alignment horizontal="center" vertical="center" wrapText="0"/>
    </x:xf>
    <x:xf numFmtId="168" fontId="5" fillId="2" borderId="7" xfId="0" applyNumberFormat="1" applyFont="1" applyFill="1" applyBorder="1" applyAlignment="1">
      <x:alignment horizontal="general" vertical="center" wrapText="0"/>
    </x:xf>
    <x:xf numFmtId="166" fontId="5" fillId="2" borderId="8" xfId="0" applyNumberFormat="1" applyFont="1" applyFill="1" applyBorder="1" applyAlignment="1">
      <x:alignment horizontal="left" vertical="center" wrapText="0"/>
    </x:xf>
    <x:xf numFmtId="164" fontId="16" fillId="2" borderId="8" xfId="0" applyNumberFormat="1" applyFont="1" applyFill="1" applyBorder="1" applyAlignment="1">
      <x:alignment horizontal="left" vertical="center" wrapText="0"/>
    </x:xf>
    <x:xf numFmtId="164" fontId="5" fillId="2" borderId="9" xfId="0" applyNumberFormat="1" applyFont="1" applyFill="1" applyBorder="1" applyAlignment="1">
      <x:alignment horizontal="left" vertical="center" wrapText="0"/>
    </x:xf>
    <x:xf numFmtId="164" fontId="5" fillId="2" borderId="8" xfId="0" applyNumberFormat="1" applyFont="1" applyFill="1" applyBorder="1" applyAlignment="1">
      <x:alignment horizontal="left" vertical="center" wrapText="0"/>
    </x:xf>
    <x:xf numFmtId="168" fontId="5" fillId="2" borderId="10" xfId="0" applyNumberFormat="1" applyFont="1" applyFill="1" applyBorder="1" applyAlignment="1">
      <x:alignment horizontal="general" vertical="center" wrapText="0"/>
    </x:xf>
    <x:xf numFmtId="166" fontId="5" fillId="2" borderId="11" xfId="0" applyNumberFormat="1" applyFont="1" applyFill="1" applyBorder="1" applyAlignment="1">
      <x:alignment horizontal="left" vertical="center" wrapText="0"/>
    </x:xf>
    <x:xf numFmtId="164" fontId="5" fillId="2" borderId="11" xfId="0" applyNumberFormat="1" applyFont="1" applyFill="1" applyBorder="1" applyAlignment="1">
      <x:alignment horizontal="left" vertical="center" wrapText="0"/>
    </x:xf>
    <x:xf numFmtId="164" fontId="5" fillId="2" borderId="12" xfId="0" applyNumberFormat="1" applyFont="1" applyFill="1" applyBorder="1" applyAlignment="1">
      <x:alignment horizontal="left" vertical="center" wrapText="0"/>
    </x:xf>
    <x:xf numFmtId="164" fontId="18" fillId="2" borderId="0" xfId="0" applyNumberFormat="1" applyFont="1" applyFill="1" applyBorder="1" applyAlignment="1">
      <x:alignment horizontal="general" vertical="bottom" wrapText="0"/>
    </x:xf>
    <x:xf numFmtId="164" fontId="19" fillId="2" borderId="14" xfId="0" applyNumberFormat="1" applyFont="1" applyFill="1" applyBorder="1" applyAlignment="1">
      <x:alignment horizontal="general" vertical="bottom" wrapText="0"/>
    </x:xf>
    <x:xf numFmtId="164" fontId="19" fillId="2" borderId="14" xfId="0" applyNumberFormat="1" applyFont="1" applyFill="1" applyBorder="1" applyAlignment="1">
      <x:alignment horizontal="general" vertical="bottom" wrapText="1"/>
    </x:xf>
    <x:xf numFmtId="164" fontId="5" fillId="2" borderId="14" xfId="0" applyNumberFormat="1" applyFont="1" applyFill="1" applyBorder="1" applyAlignment="1">
      <x:alignment horizontal="general" vertical="bottom" wrapText="1"/>
    </x:xf>
    <x:xf numFmtId="164" fontId="20" fillId="2" borderId="0" xfId="0" applyNumberFormat="1" applyFont="1" applyFill="1" applyBorder="1" applyAlignment="1">
      <x:alignment horizontal="general" vertical="bottom" wrapText="1"/>
    </x:xf>
    <x:xf numFmtId="164" fontId="18" fillId="2" borderId="0" xfId="0" applyNumberFormat="1" applyFont="1" applyFill="1" applyBorder="1" applyAlignment="1">
      <x:alignment horizontal="general" vertical="bottom" wrapText="1"/>
    </x:xf>
    <x:xf numFmtId="164" fontId="10" fillId="2" borderId="16" xfId="0" applyNumberFormat="1" applyFont="1" applyFill="1" applyBorder="1" applyAlignment="1">
      <x:alignment horizontal="left" vertical="bottom" wrapText="1"/>
    </x:xf>
    <x:xf numFmtId="164" fontId="19" fillId="2" borderId="0" xfId="0" applyNumberFormat="1" applyFont="1" applyFill="1" applyBorder="1" applyAlignment="1">
      <x:alignment horizontal="general" vertical="bottom" wrapText="0"/>
    </x:xf>
    <x:xf numFmtId="164" fontId="10" fillId="2" borderId="18" xfId="0" applyNumberFormat="1" applyFont="1" applyFill="1" applyBorder="1" applyAlignment="1">
      <x:alignment horizontal="left" vertical="bottom" wrapText="1"/>
    </x:xf>
    <x:xf numFmtId="164" fontId="14" fillId="2" borderId="0" xfId="0" applyNumberFormat="1" applyFont="1" applyFill="1" applyBorder="1" applyAlignment="1">
      <x:alignment horizontal="general" vertical="bottom" wrapText="0"/>
    </x:xf>
    <x:xf numFmtId="164" fontId="18" fillId="2" borderId="0" xfId="0" applyNumberFormat="1" applyFont="1" applyFill="1" applyBorder="1" applyAlignment="1">
      <x:alignment horizontal="center" vertical="bottom" wrapText="1"/>
    </x:xf>
    <x:xf numFmtId="164" fontId="19" fillId="2" borderId="19" xfId="0" applyNumberFormat="1" applyFont="1" applyFill="1" applyBorder="1" applyAlignment="1">
      <x:alignment horizontal="center" vertical="center" wrapText="0"/>
    </x:xf>
    <x:xf numFmtId="164" fontId="19" fillId="2" borderId="20" xfId="0" applyNumberFormat="1" applyFont="1" applyFill="1" applyBorder="1" applyAlignment="1">
      <x:alignment horizontal="center" vertical="center" wrapText="0"/>
    </x:xf>
    <x:xf numFmtId="164" fontId="19" fillId="2" borderId="21" xfId="0" applyNumberFormat="1" applyFont="1" applyFill="1" applyBorder="1" applyAlignment="1">
      <x:alignment horizontal="center" vertical="center" wrapText="0"/>
    </x:xf>
    <x:xf numFmtId="164" fontId="19" fillId="2" borderId="22" xfId="0" applyNumberFormat="1" applyFont="1" applyFill="1" applyBorder="1" applyAlignment="1">
      <x:alignment horizontal="center" vertical="center" wrapText="1"/>
    </x:xf>
    <x:xf numFmtId="164" fontId="11" fillId="3" borderId="2" xfId="0" applyNumberFormat="1" applyFont="1" applyFill="1" applyBorder="1" applyAlignment="1">
      <x:alignment horizontal="center" vertical="center" wrapText="1"/>
    </x:xf>
    <x:xf numFmtId="164" fontId="11" fillId="3" borderId="23" xfId="0" applyNumberFormat="1" applyFont="1" applyFill="1" applyBorder="1" applyAlignment="1">
      <x:alignment horizontal="center" vertical="center" wrapText="1"/>
    </x:xf>
    <x:xf numFmtId="164" fontId="15" fillId="2" borderId="0" xfId="0" applyNumberFormat="1" applyFont="1" applyFill="1" applyBorder="1" applyAlignment="1">
      <x:alignment horizontal="center" vertical="center" wrapText="1"/>
    </x:xf>
    <x:xf numFmtId="164" fontId="20" fillId="5" borderId="1" xfId="0" applyNumberFormat="1" applyFont="1" applyFill="1" applyBorder="1" applyAlignment="1">
      <x:alignment horizontal="left" vertical="center" wrapText="0"/>
    </x:xf>
    <x:xf numFmtId="164" fontId="20" fillId="5" borderId="24" xfId="0" applyNumberFormat="1" applyFont="1" applyFill="1" applyBorder="1" applyAlignment="1">
      <x:alignment horizontal="left" vertical="center" wrapText="0"/>
    </x:xf>
    <x:xf numFmtId="164" fontId="20" fillId="5" borderId="3" xfId="0" applyNumberFormat="1" applyFont="1" applyFill="1" applyBorder="1" applyAlignment="1">
      <x:alignment horizontal="left" vertical="center" wrapText="0"/>
    </x:xf>
    <x:xf numFmtId="164" fontId="15" fillId="2" borderId="0" xfId="0" applyNumberFormat="1" applyFont="1" applyFill="1" applyBorder="1" applyAlignment="1">
      <x:alignment horizontal="left" vertical="center" wrapText="0"/>
    </x:xf>
    <x:xf numFmtId="164" fontId="18" fillId="2" borderId="0" xfId="0" applyNumberFormat="1" applyFont="1" applyFill="1" applyBorder="1" applyAlignment="1">
      <x:alignment horizontal="general" vertical="top" wrapText="1"/>
    </x:xf>
    <x:xf numFmtId="164" fontId="5" fillId="2" borderId="2" xfId="0" applyNumberFormat="1" applyFont="1" applyFill="1" applyBorder="1" applyAlignment="1">
      <x:alignment horizontal="general" vertical="bottom" wrapText="0"/>
    </x:xf>
    <x:xf numFmtId="164" fontId="19" fillId="2" borderId="25" xfId="0" applyNumberFormat="1" applyFont="1" applyFill="1" applyBorder="1" applyAlignment="1">
      <x:alignment horizontal="center" vertical="center" wrapText="0"/>
    </x:xf>
    <x:xf numFmtId="164" fontId="20" fillId="0" borderId="26" xfId="0" applyNumberFormat="1" applyFont="1" applyFill="1" applyBorder="1" applyAlignment="1">
      <x:alignment horizontal="left" vertical="center" wrapText="0"/>
    </x:xf>
    <x:xf numFmtId="164" fontId="8" fillId="2" borderId="0" xfId="0" applyNumberFormat="1" applyFont="1" applyFill="1" applyBorder="1" applyAlignment="1">
      <x:alignment horizontal="center" vertical="bottom" wrapText="0"/>
    </x:xf>
    <x:xf numFmtId="164" fontId="20" fillId="2" borderId="0" xfId="0" applyNumberFormat="1" applyFont="1" applyFill="1" applyBorder="1" applyAlignment="1">
      <x:alignment horizontal="general" vertical="bottom" wrapText="0"/>
    </x:xf>
    <x:xf numFmtId="165" fontId="5" fillId="2" borderId="0" xfId="0" applyNumberFormat="1" applyFont="1" applyFill="1" applyBorder="1" applyAlignment="1">
      <x:alignment horizontal="general" vertical="bottom" wrapText="0"/>
    </x:xf>
    <x:xf numFmtId="164" fontId="9" fillId="2" borderId="3" xfId="0" applyNumberFormat="1" applyFont="1" applyFill="1" applyBorder="1" applyAlignment="1">
      <x:alignment horizontal="left" vertical="bottom" wrapText="0"/>
    </x:xf>
    <x:xf numFmtId="164" fontId="5" fillId="2" borderId="3" xfId="0" applyNumberFormat="1" applyFont="1" applyFill="1" applyBorder="1" applyAlignment="1">
      <x:alignment horizontal="general" vertical="top" wrapText="0"/>
    </x:xf>
    <x:xf numFmtId="164" fontId="9" fillId="2" borderId="2" xfId="0" applyNumberFormat="1" applyFont="1" applyFill="1" applyBorder="1" applyAlignment="1">
      <x:alignment horizontal="general" vertical="center" wrapText="0"/>
    </x:xf>
    <x:xf numFmtId="164" fontId="10" fillId="2" borderId="3" xfId="0" applyNumberFormat="1" applyFont="1" applyFill="1" applyBorder="1" applyAlignment="1">
      <x:alignment horizontal="general" vertical="top" wrapText="0"/>
    </x:xf>
    <x:xf numFmtId="164" fontId="10" fillId="2" borderId="2" xfId="0" applyNumberFormat="1" applyFont="1" applyFill="1" applyBorder="1" applyAlignment="1">
      <x:alignment horizontal="general" vertical="top" wrapText="0"/>
    </x:xf>
    <x:xf numFmtId="164" fontId="10" fillId="2" borderId="0" xfId="0" applyNumberFormat="1" applyFont="1" applyFill="1" applyBorder="1" applyAlignment="1">
      <x:alignment horizontal="general" vertical="bottom" wrapText="0"/>
    </x:xf>
    <x:xf numFmtId="164" fontId="5" fillId="2" borderId="27" xfId="0" applyNumberFormat="1" applyFont="1" applyFill="1" applyBorder="1" applyAlignment="1">
      <x:alignment horizontal="general" vertical="bottom" wrapText="0"/>
    </x:xf>
    <x:xf numFmtId="164" fontId="11" fillId="3" borderId="28" xfId="0" applyNumberFormat="1" applyFont="1" applyFill="1" applyBorder="1" applyAlignment="1">
      <x:alignment horizontal="center" vertical="bottom" wrapText="0"/>
    </x:xf>
    <x:xf numFmtId="164" fontId="11" fillId="3" borderId="5" xfId="0" applyNumberFormat="1" applyFont="1" applyFill="1" applyBorder="1" applyAlignment="1">
      <x:alignment horizontal="center" vertical="bottom" wrapText="0"/>
    </x:xf>
    <x:xf numFmtId="164" fontId="11" fillId="3" borderId="13" xfId="0" applyNumberFormat="1" applyFont="1" applyFill="1" applyBorder="1" applyAlignment="1">
      <x:alignment horizontal="center" vertical="bottom" wrapText="0"/>
    </x:xf>
    <x:xf numFmtId="164" fontId="5" fillId="2" borderId="30" xfId="0" applyNumberFormat="1" applyFont="1" applyFill="1" applyBorder="1" applyAlignment="1">
      <x:alignment horizontal="center" vertical="bottom" wrapText="0"/>
    </x:xf>
    <x:xf numFmtId="164" fontId="5" fillId="2" borderId="8" xfId="0" applyNumberFormat="1" applyFont="1" applyFill="1" applyBorder="1" applyAlignment="1">
      <x:alignment horizontal="general" vertical="bottom" wrapText="0"/>
    </x:xf>
    <x:xf numFmtId="164" fontId="5" fillId="2" borderId="8" xfId="0" applyNumberFormat="1" applyFont="1" applyFill="1" applyBorder="1" applyAlignment="1">
      <x:alignment horizontal="center" vertical="bottom" wrapText="0"/>
    </x:xf>
    <x:xf numFmtId="164" fontId="5" fillId="2" borderId="31" xfId="0" applyNumberFormat="1" applyFont="1" applyFill="1" applyBorder="1" applyAlignment="1">
      <x:alignment horizontal="center" vertical="bottom" wrapText="0"/>
    </x:xf>
    <x:xf numFmtId="164" fontId="5" fillId="2" borderId="32" xfId="0" applyNumberFormat="1" applyFont="1" applyFill="1" applyBorder="1" applyAlignment="1">
      <x:alignment horizontal="center" vertical="bottom" wrapText="0"/>
    </x:xf>
    <x:xf numFmtId="164" fontId="22" fillId="3" borderId="33" xfId="0" applyNumberFormat="1" applyFont="1" applyFill="1" applyBorder="1" applyAlignment="1">
      <x:alignment horizontal="center" vertical="bottom" wrapText="0"/>
    </x:xf>
    <x:xf numFmtId="164" fontId="11" fillId="3" borderId="11" xfId="0" applyNumberFormat="1" applyFont="1" applyFill="1" applyBorder="1" applyAlignment="1">
      <x:alignment horizontal="general" vertical="bottom" wrapText="0"/>
    </x:xf>
    <x:xf numFmtId="164" fontId="22" fillId="3" borderId="11" xfId="0" applyNumberFormat="1" applyFont="1" applyFill="1" applyBorder="1" applyAlignment="1">
      <x:alignment horizontal="center" vertical="bottom" wrapText="0"/>
    </x:xf>
    <x:xf numFmtId="164" fontId="22" fillId="3" borderId="34" xfId="0" applyNumberFormat="1" applyFont="1" applyFill="1" applyBorder="1" applyAlignment="1">
      <x:alignment horizontal="center" vertical="bottom" wrapText="0"/>
    </x:xf>
    <x:xf numFmtId="164" fontId="5" fillId="2" borderId="0" xfId="0" applyNumberFormat="1" applyFont="1" applyFill="1" applyBorder="1" applyAlignment="1">
      <x:alignment horizontal="center" vertical="bottom" wrapText="0"/>
    </x:xf>
    <x:xf numFmtId="169" fontId="5" fillId="2" borderId="0" xfId="0" applyNumberFormat="1" applyFont="1" applyFill="1" applyBorder="1" applyAlignment="1">
      <x:alignment horizontal="center" vertical="bottom" wrapText="0"/>
    </x:xf>
    <x:xf numFmtId="170" fontId="5" fillId="2" borderId="0" xfId="0" applyNumberFormat="1" applyFont="1" applyFill="1" applyBorder="1" applyAlignment="1">
      <x:alignment horizontal="center" vertical="bottom" wrapText="0"/>
    </x:xf>
    <x:xf numFmtId="200" fontId="20" fillId="5" borderId="24" xfId="0" applyNumberFormat="1" applyFont="1" applyFill="1" applyBorder="1" applyAlignment="1">
      <x:alignment horizontal="left" vertical="center" wrapText="1"/>
    </x:xf>
    <x:xf numFmtId="164" fontId="0" fillId="5" borderId="0" xfId="0" applyNumberFormat="1" applyFont="1" applyFill="1" applyBorder="1" applyAlignment="1">
      <x:alignment horizontal="general" vertical="top" wrapText="1"/>
    </x:xf>
    <x:xf numFmtId="200" fontId="0" fillId="5" borderId="0" xfId="0" applyNumberFormat="1" applyFont="1" applyFill="1" applyBorder="1" applyAlignment="1">
      <x:alignment horizontal="general" vertical="top" wrapText="1"/>
    </x:xf>
    <x:xf numFmtId="164" fontId="24" fillId="5" borderId="0" xfId="0" applyNumberFormat="1" applyFont="1" applyFill="1" applyBorder="1" applyAlignment="1">
      <x:alignment horizontal="general" vertical="top" wrapText="1"/>
    </x:xf>
    <x:xf numFmtId="200" fontId="24" fillId="5" borderId="0" xfId="0" applyNumberFormat="1" applyFont="1" applyFill="1" applyBorder="1" applyAlignment="1">
      <x:alignment horizontal="general" vertical="top" wrapText="1"/>
    </x:xf>
    <x:xf numFmtId="164" fontId="24" fillId="5" borderId="0" xfId="0" applyNumberFormat="1" applyFont="1" applyFill="1" applyBorder="1" applyAlignment="1">
      <x:alignment horizontal="general" vertical="center" wrapText="1"/>
    </x:xf>
    <x:xf numFmtId="200" fontId="24" fillId="5" borderId="0" xfId="0" applyNumberFormat="1" applyFont="1" applyFill="1" applyBorder="1" applyAlignment="1">
      <x:alignment horizontal="general" vertical="center" wrapText="1"/>
    </x:xf>
  </x:cellXfs>
  <x:cellStyles count="10">
    <x:cellStyle name="Normal" xfId="0"/>
    <x:cellStyle name="Comma" xfId="15"/>
    <x:cellStyle name="Comma [0]" xfId="16"/>
    <x:cellStyle name="Currency" xfId="17"/>
    <x:cellStyle name="Currency [0]" xfId="18"/>
    <x:cellStyle name="Percent" xfId="19"/>
    <x:cellStyle name="Normal_Functional Test Case v1.0" xfId="21"/>
    <x:cellStyle name="Normal_Sheet1" xfId="22"/>
    <x:cellStyle name="標準_結合試験(AllOvertheWorld)" xfId="23"/>
    <x:cellStyle name="*unknown*" xfId="20"/>
  </x:cellStyles>
  <x:dxfs count="21">
    <x:dxf>
      <x:fill>
        <x:patternFill>
          <x:bgColor rgb="FF000080"/>
        </x:patternFill>
      </x:fill>
    </x:dxf>
    <x:dxf>
      <x:fill>
        <x:patternFill>
          <x:bgColor rgb="FFCCFFFF"/>
        </x:patternFill>
      </x:fill>
    </x:dxf>
    <x:dxf>
      <x:fill>
        <x:patternFill>
          <x:bgColor rgb="FFFFFFFF"/>
        </x:patternFill>
      </x:fill>
    </x:dxf>
    <x:dxf>
      <x:fill>
        <x:patternFill>
          <x:bgColor rgb="FF000000"/>
        </x:patternFill>
      </x:fill>
    </x:dxf>
    <x:dxf>
      <x:fill>
        <x:patternFill>
          <x:bgColor rgb="FF008000"/>
        </x:patternFill>
      </x:fill>
    </x:dxf>
    <x:dxf>
      <x:fill>
        <x:patternFill>
          <x:bgColor rgb="FF000000"/>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3da373fbf44e05" /><Relationship Type="http://schemas.openxmlformats.org/officeDocument/2006/relationships/theme" Target="/xl/theme/theme1.xml" Id="R08bb4883b80a49cc" /><Relationship Type="http://schemas.openxmlformats.org/officeDocument/2006/relationships/sharedStrings" Target="/xl/sharedStrings.xml" Id="Rb9dd8c44cb7443c5" /><Relationship Type="http://schemas.openxmlformats.org/officeDocument/2006/relationships/worksheet" Target="/xl/worksheets/sheet1.xml" Id="R835faaf8caba4953" /><Relationship Type="http://schemas.openxmlformats.org/officeDocument/2006/relationships/worksheet" Target="/xl/worksheets/sheet2.xml" Id="Raa9b68ee171c4c1a" /><Relationship Type="http://schemas.openxmlformats.org/officeDocument/2006/relationships/worksheet" Target="/xl/worksheets/sheet3.xml" Id="R0e962d35cc664b84" /><Relationship Type="http://schemas.openxmlformats.org/officeDocument/2006/relationships/worksheet" Target="/xl/worksheets/sheet4.xml" Id="R1718ba65b7f446f3" /><Relationship Type="http://schemas.openxmlformats.org/officeDocument/2006/relationships/worksheet" Target="/xl/worksheets/sheet5.xml" Id="Rd18b821b098f4ff8" /><Relationship Type="http://schemas.openxmlformats.org/officeDocument/2006/relationships/worksheet" Target="/xl/worksheets/sheet6.xml" Id="Ree41f535e8c14722" /><Relationship Type="http://schemas.openxmlformats.org/officeDocument/2006/relationships/worksheet" Target="/xl/worksheets/sheet7.xml" Id="R30a34f2b0db44172" /><Relationship Type="http://schemas.openxmlformats.org/officeDocument/2006/relationships/worksheet" Target="/xl/worksheets/sheet8.xml" Id="R16650bb4d1fd448a" /><Relationship Type="http://schemas.microsoft.com/office/2017/10/relationships/person" Target="/xl/persons/person.xml" Id="R30adb954287a40fe" /></Relationships>
</file>

<file path=xl/drawings/_rels/drawing1.xml.rels>&#65279;<?xml version="1.0" encoding="utf-8"?><Relationships xmlns="http://schemas.openxmlformats.org/package/2006/relationships"><Relationship Type="http://schemas.openxmlformats.org/officeDocument/2006/relationships/image" Target="/xl/media/image.jpg" Id="R388dd5e35697479a" /></Relationships>
</file>

<file path=xl/drawings/drawing1.xml><?xml version="1.0" encoding="utf-8"?>
<xdr:wsDr xmlns:xdr="http://schemas.openxmlformats.org/drawingml/2006/spreadsheetDrawing">
  <xdr:twoCellAnchor editAs="oneCell">
    <xdr:from>
      <xdr:col>1</xdr:col>
      <xdr:colOff>70560</xdr:colOff>
      <xdr:row>1</xdr:row>
      <xdr:rowOff>123840</xdr:rowOff>
    </xdr:from>
    <xdr:to>
      <xdr:col>1</xdr:col>
      <xdr:colOff>1392120</xdr:colOff>
      <xdr:row>1</xdr:row>
      <xdr:rowOff>849240</xdr:rowOff>
    </xdr:to>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388dd5e35697479a"/>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Unknown Author" id="{441D3B8E-E9EA-DA91-7A0D-7BDB7350A610}"/>
  <xltc:person displayName="Unknown Author" id="{F0F16B76-7BC5-889A-3E59-9BAB5906A745}"/>
  <xltc:person displayName="Unknown Author" id="{142171E8-D882-43F3-7498-B2E07D9C1EDE}"/>
</xltc:personList>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531be06d1404dc1" /><Relationship Type="http://schemas.openxmlformats.org/officeDocument/2006/relationships/vmlDrawing" Target="/xl/drawings/vmldrawing.vml" Id="R514f456086ed4941" /><Relationship Type="http://schemas.openxmlformats.org/officeDocument/2006/relationships/drawing" Target="/xl/drawings/drawing1.xml" Id="R84f4e03e38b5451c" /></Relationships>
</file>

<file path=xl/worksheets/_rels/sheet3.xml.rels>&#65279;<?xml version="1.0" encoding="utf-8"?><Relationships xmlns="http://schemas.openxmlformats.org/package/2006/relationships"><Relationship Type="http://schemas.openxmlformats.org/officeDocument/2006/relationships/comments" Target="/xl/comments2.xml" Id="Ra26caeae035042f1" /><Relationship Type="http://schemas.openxmlformats.org/officeDocument/2006/relationships/vmlDrawing" Target="/xl/drawings/vmldrawing2.vml" Id="R82cccc8dddf34c7d" /></Relationships>
</file>

<file path=xl/worksheets/_rels/sheet4.xml.rels>&#65279;<?xml version="1.0" encoding="utf-8"?><Relationships xmlns="http://schemas.openxmlformats.org/package/2006/relationships"><Relationship Type="http://schemas.openxmlformats.org/officeDocument/2006/relationships/comments" Target="/xl/comments3.xml" Id="Rfbcf7ed8bdfa4a10" /><Relationship Type="http://schemas.openxmlformats.org/officeDocument/2006/relationships/vmlDrawing" Target="/xl/drawings/vmldrawing3.vml" Id="R4037c93de4314b66" /></Relationships>
</file>

<file path=xl/worksheets/sheet1.xml><?xml version="1.0" encoding="utf-8"?>
<x:worksheet xmlns:x="http://schemas.openxmlformats.org/spreadsheetml/2006/main">
  <x:sheetViews>
    <x:sheetView showGridLines="1" workbookViewId="0"/>
  </x:sheetViews>
  <x:sheetFormatPr defaultColWidth="8.9921875" defaultRowHeight="12.75"/>
  <x:cols>
    <x:col min="1" max="1" width="2.25" style="1" hidden="0" customWidth="1"/>
    <x:col min="2" max="2" width="19.6200008392334" style="2" hidden="0" customWidth="1"/>
    <x:col min="3" max="3" width="9.25" style="1" hidden="0" customWidth="1"/>
    <x:col min="4" max="4" width="14.489999771118164" style="1" hidden="0" customWidth="1"/>
    <x:col min="5" max="5" width="7.989999771118164" style="1" hidden="0" customWidth="1"/>
    <x:col min="6" max="6" width="31.1200008392334" style="1" hidden="0" customWidth="1"/>
    <x:col min="7" max="7" width="30.989999771118164" style="1" hidden="0" customWidth="1"/>
    <x:col min="8" max="257" width="8.989999771118164" style="1" hidden="0" customWidth="0"/>
  </x:cols>
  <x:sheetData>
    <x:row r="2" ht="75.75" hidden="0" customHeight="1">
      <x:c r="A2" s="3"/>
      <x:c r="B2" s="4"/>
      <x:c r="C2" s="5" t="s">
        <x:v>0</x:v>
      </x:c>
      <x:c r="D2" s="5"/>
      <x:c r="E2" s="5"/>
      <x:c r="F2" s="5"/>
      <x:c r="G2" s="5"/>
    </x:row>
    <x:row r="3" ht="12.75" hidden="0">
      <x:c r="B3" s="6"/>
      <x:c r="C3" s="7"/>
      <x:c r="F3" s="8"/>
    </x:row>
    <x:row r="4" ht="14.25" hidden="0" customHeight="1">
      <x:c r="B4" s="9" t="s">
        <x:v>1</x:v>
      </x:c>
      <x:c r="C4" s="10" t="s">
        <x:v>2</x:v>
      </x:c>
      <x:c r="D4" s="10"/>
      <x:c r="E4" s="10"/>
      <x:c r="F4" s="9" t="s">
        <x:v>3</x:v>
      </x:c>
      <x:c r="G4" s="11"/>
    </x:row>
    <x:row r="5" ht="14.25" hidden="0" customHeight="1">
      <x:c r="B5" s="9" t="s">
        <x:v>4</x:v>
      </x:c>
      <x:c r="C5" s="10" t="s">
        <x:v>5</x:v>
      </x:c>
      <x:c r="D5" s="10"/>
      <x:c r="E5" s="10"/>
      <x:c r="F5" s="9" t="s">
        <x:v>6</x:v>
      </x:c>
      <x:c r="G5" s="11"/>
    </x:row>
    <x:row r="6" ht="15.75" hidden="0" customHeight="1">
      <x:c r="B6" s="12" t="s">
        <x:v>7</x:v>
      </x:c>
      <x:c r="C6" s="13" t="str">
        <x:f aca="0">C5&amp;"_"&amp;"XXX"&amp;"_"&amp;"vx.x"</x:f>
        <x:v>&lt;Project Code&gt;_XXX_vx.x</x:v>
      </x:c>
      <x:c r="D6" s="13"/>
      <x:c r="E6" s="13"/>
      <x:c r="F6" s="9" t="s">
        <x:v>8</x:v>
      </x:c>
      <x:c r="G6" s="14"/>
    </x:row>
    <x:row r="7" ht="13.5" hidden="0" customHeight="1">
      <x:c r="B7" s="12"/>
      <x:c r="C7" s="13"/>
      <x:c r="D7" s="13"/>
      <x:c r="E7" s="13"/>
      <x:c r="F7" s="9" t="s">
        <x:v>9</x:v>
      </x:c>
      <x:c r="G7" s="14"/>
    </x:row>
    <x:row r="8" ht="12.75" hidden="0">
      <x:c r="B8" s="15"/>
      <x:c r="C8" s="16"/>
      <x:c r="D8" s="17"/>
      <x:c r="E8" s="17"/>
      <x:c r="F8" s="18"/>
      <x:c r="G8" s="19"/>
    </x:row>
    <x:row r="9" ht="12.75" hidden="0">
      <x:c r="B9" s="20"/>
      <x:c r="C9" s="21"/>
      <x:c r="D9" s="21"/>
      <x:c r="E9" s="21"/>
      <x:c r="F9" s="21"/>
    </x:row>
    <x:row r="10" ht="12.75" hidden="0">
      <x:c r="B10" s="22" t="s">
        <x:v>10</x:v>
      </x:c>
    </x:row>
    <x:row r="11" ht="12.75" hidden="0">
      <x:c r="B11" s="23" t="s">
        <x:v>11</x:v>
      </x:c>
      <x:c r="C11" s="24" t="s">
        <x:v>9</x:v>
      </x:c>
      <x:c r="D11" s="24" t="s">
        <x:v>12</x:v>
      </x:c>
      <x:c r="E11" s="24" t="s">
        <x:v>13</x:v>
      </x:c>
      <x:c r="F11" s="24" t="s">
        <x:v>14</x:v>
      </x:c>
      <x:c r="G11" s="25" t="s">
        <x:v>15</x:v>
      </x:c>
    </x:row>
    <x:row r="12" ht="25.5" hidden="0">
      <x:c r="B12" s="26" t="s">
        <x:v>16</x:v>
      </x:c>
      <x:c r="C12" s="27"/>
      <x:c r="D12" s="28"/>
      <x:c r="E12" s="28"/>
      <x:c r="F12" s="29"/>
      <x:c r="G12" s="30" t="s">
        <x:v>17</x:v>
      </x:c>
    </x:row>
    <x:row r="13" ht="21.75" hidden="0" customHeight="1">
      <x:c r="B13" s="31"/>
      <x:c r="C13" s="27"/>
      <x:c r="D13" s="28"/>
      <x:c r="E13" s="28"/>
      <x:c r="F13" s="28"/>
      <x:c r="G13" s="32"/>
    </x:row>
    <x:row r="14" ht="19.5" hidden="0" customHeight="1">
      <x:c r="B14" s="31"/>
      <x:c r="C14" s="27"/>
      <x:c r="D14" s="28"/>
      <x:c r="E14" s="28"/>
      <x:c r="F14" s="28"/>
      <x:c r="G14" s="32"/>
    </x:row>
    <x:row r="15" ht="21.75" hidden="0" customHeight="1">
      <x:c r="B15" s="31"/>
      <x:c r="C15" s="27"/>
      <x:c r="D15" s="28"/>
      <x:c r="E15" s="28"/>
      <x:c r="F15" s="28"/>
      <x:c r="G15" s="32"/>
    </x:row>
    <x:row r="16" ht="19.5" hidden="0" customHeight="1">
      <x:c r="B16" s="31"/>
      <x:c r="C16" s="27"/>
      <x:c r="D16" s="28"/>
      <x:c r="E16" s="28"/>
      <x:c r="F16" s="28"/>
      <x:c r="G16" s="32"/>
    </x:row>
    <x:row r="17" ht="21.75" hidden="0" customHeight="1">
      <x:c r="B17" s="31"/>
      <x:c r="C17" s="27"/>
      <x:c r="D17" s="28"/>
      <x:c r="E17" s="28"/>
      <x:c r="F17" s="28"/>
      <x:c r="G17" s="32"/>
    </x:row>
    <x:row r="18" ht="19.5" hidden="0" customHeight="1">
      <x:c r="B18" s="33"/>
      <x:c r="C18" s="34"/>
      <x:c r="D18" s="35"/>
      <x:c r="E18" s="35"/>
      <x:c r="F18" s="35"/>
      <x:c r="G18" s="36"/>
    </x:row>
  </x:sheetData>
  <x:mergeCells>
    <x:mergeCell ref="C2:G2"/>
    <x:mergeCell ref="C4:E4"/>
    <x:mergeCell ref="C5:E5"/>
    <x:mergeCell ref="B6:B7"/>
    <x:mergeCell ref="C6:E7"/>
  </x:mergeCells>
  <x:pageMargins left="0.7" right="0.7" top="0.75" bottom="0.75" header="0.3" footer="0.3"/>
  <x:drawing xmlns:r="http://schemas.openxmlformats.org/officeDocument/2006/relationships" r:id="R84f4e03e38b5451c"/>
  <x:legacyDrawing xmlns:r="http://schemas.openxmlformats.org/officeDocument/2006/relationships" r:id="R514f456086ed4941"/>
</x:worksheet>
</file>

<file path=xl/worksheets/sheet2.xml><?xml version="1.0" encoding="utf-8"?>
<x:worksheet xmlns:x="http://schemas.openxmlformats.org/spreadsheetml/2006/main">
  <x:sheetViews>
    <x:sheetView showGridLines="1" workbookViewId="0"/>
  </x:sheetViews>
  <x:sheetFormatPr defaultColWidth="8.9921875" defaultRowHeight="12.75"/>
  <x:cols>
    <x:col min="1" max="1" width="1.3600000143051147" style="8" hidden="0" customWidth="1"/>
    <x:col min="2" max="2" width="8" style="37" hidden="0" customWidth="1"/>
    <x:col min="3" max="3" width="42" style="38" hidden="0" customWidth="1"/>
    <x:col min="4" max="4" width="15" style="38" hidden="0" customWidth="1"/>
    <x:col min="5" max="5" width="52" style="38" hidden="0" customWidth="1"/>
    <x:col min="6" max="6" width="45" style="38" hidden="0" customWidth="1"/>
    <x:col min="7" max="257" width="8.989999771118164" style="8" hidden="0" customWidth="0"/>
  </x:cols>
  <x:sheetData>
    <x:row r="1" ht="25.5" hidden="0">
      <x:c r="B1" s="39"/>
      <x:c r="D1" s="40" t="str">
        <x:v>TEST CASE LIST</x:v>
      </x:c>
      <x:c r="E1" s="41"/>
    </x:row>
    <x:row r="2" ht="13.5" hidden="0" customHeight="1">
      <x:c r="B2" s="39"/>
      <x:c r="D2" s="42"/>
      <x:c r="E2" s="42"/>
    </x:row>
    <x:row r="3" ht="12.75" hidden="0">
      <x:c r="B3" s="43" t="str">
        <x:v>Project Name</x:v>
      </x:c>
      <x:c r="C3" s="43"/>
      <x:c r="D3" s="44" t="str">
        <x:f aca="0"/>
        <x:v>Customer Feedback System</x:v>
      </x:c>
      <x:c r="E3" s="44"/>
      <x:c r="F3" s="44"/>
    </x:row>
    <x:row r="4" ht="12.75" hidden="0">
      <x:c r="B4" s="43" t="str">
        <x:v>Project Code</x:v>
      </x:c>
      <x:c r="C4" s="43"/>
      <x:c r="D4" s="44" t="str">
        <x:f aca="0"/>
        <x:v>CFMS-SWT301</x:v>
      </x:c>
      <x:c r="E4" s="44"/>
      <x:c r="F4" s="44"/>
    </x:row>
    <x:row r="5" ht="84.75" hidden="0" customHeight="1">
      <x:c r="B5" s="45" t="str">
        <x:v>Test Environment Setup Description</x:v>
      </x:c>
      <x:c r="C5" s="45"/>
      <x:c r="D5" s="46" t="str">
        <x:v>1. Backend: ASP.NET Core 8 API (local)
2. Frontend: React + Vite (local)
3. Database: SQL Server 2022 - CustomerFeedbackDb_New
4. Browser: Firefox / Chrome / Edge
5. Baseline: Project Foundation &amp; Scope v1.0, SRS v1.0, Detailed Use Case Specification v1.0</x:v>
      </x:c>
      <x:c r="E5" s="46"/>
      <x:c r="F5" s="46"/>
    </x:row>
    <x:row r="6" ht="12.75" hidden="0">
      <x:c r="B6" s="47"/>
      <x:c r="C6" s="48"/>
      <x:c r="D6" s="48"/>
      <x:c r="E6" s="48"/>
      <x:c r="F6" s="48"/>
    </x:row>
    <x:row r="7" ht="12.75" hidden="0">
      <x:c r="B7" s="49"/>
      <x:c r="C7" s="50"/>
      <x:c r="D7" s="50"/>
      <x:c r="E7" s="50"/>
      <x:c r="F7" s="50"/>
    </x:row>
    <x:row r="8" ht="21" hidden="0" customHeight="1">
      <x:c r="B8" s="359" t="str">
        <x:v>No</x:v>
      </x:c>
      <x:c r="C8" s="360" t="str">
        <x:v>Function Name</x:v>
      </x:c>
      <x:c r="D8" s="360" t="str">
        <x:v>Sheet Name</x:v>
      </x:c>
      <x:c r="E8" s="361" t="str">
        <x:v>Description</x:v>
      </x:c>
      <x:c r="F8" s="362" t="str">
        <x:v>Pre-Condition</x:v>
      </x:c>
    </x:row>
    <x:row r="9" ht="12.75" hidden="0">
      <x:c r="B9" s="371" t="n">
        <x:v>1</x:v>
      </x:c>
      <x:c r="C9" s="372" t="str">
        <x:v>Function A — Authentication</x:v>
      </x:c>
      <x:c r="D9" s="373" t="str">
        <x:v>Module1</x:v>
      </x:c>
      <x:c r="E9" s="373" t="str">
        <x:v>Authentication and Customer feedback black-box tests.</x:v>
      </x:c>
      <x:c r="F9" s="374" t="str">
        <x:v>Application/test data needed for the relevant role and workflow state.</x:v>
      </x:c>
    </x:row>
    <x:row r="10" ht="12.75" hidden="0">
      <x:c r="B10" s="371" t="n">
        <x:v>2</x:v>
      </x:c>
      <x:c r="C10" s="372" t="str">
        <x:v>Function B — Submit Feedback &amp; Input Validation</x:v>
      </x:c>
      <x:c r="D10" s="373" t="str">
        <x:v>Module1</x:v>
      </x:c>
      <x:c r="E10" s="373" t="str">
        <x:v>Authentication and Customer feedback black-box tests.</x:v>
      </x:c>
      <x:c r="F10" s="374" t="str">
        <x:v>Application/test data needed for the relevant role and workflow state.</x:v>
      </x:c>
    </x:row>
    <x:row r="11" ht="12.75" hidden="0">
      <x:c r="B11" s="371" t="n">
        <x:v>3</x:v>
      </x:c>
      <x:c r="C11" s="372" t="str">
        <x:v>Function C — Customer Feedback Access / Edit / Cancel</x:v>
      </x:c>
      <x:c r="D11" s="373" t="str">
        <x:v>Module1</x:v>
      </x:c>
      <x:c r="E11" s="373" t="str">
        <x:v>Authentication and Customer feedback black-box tests.</x:v>
      </x:c>
      <x:c r="F11" s="374" t="str">
        <x:v>Application/test data needed for the relevant role and workflow state.</x:v>
      </x:c>
    </x:row>
    <x:row r="12" ht="12.75" hidden="0">
      <x:c r="B12" s="371" t="n">
        <x:v>4</x:v>
      </x:c>
      <x:c r="C12" s="372" t="str">
        <x:v>Function D — Staff Assigned Work</x:v>
      </x:c>
      <x:c r="D12" s="373" t="str">
        <x:v>Module2</x:v>
      </x:c>
      <x:c r="E12" s="373" t="str">
        <x:v>Staff assignment, processing, response and resolution tests.</x:v>
      </x:c>
      <x:c r="F12" s="374" t="str">
        <x:v>Application/test data needed for the relevant role and workflow state.</x:v>
      </x:c>
    </x:row>
    <x:row r="13" ht="12.75" hidden="0">
      <x:c r="B13" s="371" t="n">
        <x:v>5</x:v>
      </x:c>
      <x:c r="C13" s="372" t="str">
        <x:v>Function E — Start / Respond / Resolve</x:v>
      </x:c>
      <x:c r="D13" s="373" t="str">
        <x:v>Module2</x:v>
      </x:c>
      <x:c r="E13" s="373" t="str">
        <x:v>Staff assignment, processing, response and resolution tests.</x:v>
      </x:c>
      <x:c r="F13" s="374" t="str">
        <x:v>Application/test data needed for the relevant role and workflow state.</x:v>
      </x:c>
    </x:row>
    <x:row r="14" ht="12.75" hidden="0">
      <x:c r="B14" s="371" t="n">
        <x:v>6</x:v>
      </x:c>
      <x:c r="C14" s="372" t="str">
        <x:v>Function F — Manager View / Assign / Reassign</x:v>
      </x:c>
      <x:c r="D14" s="375" t="str">
        <x:v>Module3</x:v>
      </x:c>
      <x:c r="E14" s="375" t="str">
        <x:v>Manager review, assignment, reassignment, closure and dashboard tests.</x:v>
      </x:c>
      <x:c r="F14" s="374" t="str">
        <x:v>Application/test data needed for the relevant role and workflow state.</x:v>
      </x:c>
    </x:row>
    <x:row r="15" ht="12.75" hidden="0">
      <x:c r="B15" s="371" t="n">
        <x:v>7</x:v>
      </x:c>
      <x:c r="C15" s="372" t="str">
        <x:v>Function G — Manager Close / Dashboard</x:v>
      </x:c>
      <x:c r="D15" s="375" t="str">
        <x:v>Module3</x:v>
      </x:c>
      <x:c r="E15" s="375" t="str">
        <x:v>Manager review, assignment, reassignment, closure and dashboard tests.</x:v>
      </x:c>
      <x:c r="F15" s="374" t="str">
        <x:v>Application/test data needed for the relevant role and workflow state.</x:v>
      </x:c>
    </x:row>
    <x:row r="16" ht="12.75" hidden="0">
      <x:c r="B16" s="371" t="n">
        <x:v>8</x:v>
      </x:c>
      <x:c r="C16" s="372" t="str">
        <x:v>Function H — User Administration</x:v>
      </x:c>
      <x:c r="D16" s="375" t="str">
        <x:v>Module4</x:v>
      </x:c>
      <x:c r="E16" s="375" t="str">
        <x:v>Admin user-account and category-management tests.</x:v>
      </x:c>
      <x:c r="F16" s="374" t="str">
        <x:v>Application/test data needed for the relevant role and workflow state.</x:v>
      </x:c>
    </x:row>
    <x:row r="17" ht="12.75" hidden="0">
      <x:c r="B17" s="371" t="n">
        <x:v>9</x:v>
      </x:c>
      <x:c r="C17" s="372" t="str">
        <x:v>Function I — Category Administration</x:v>
      </x:c>
      <x:c r="D17" s="375" t="str">
        <x:v>Module4</x:v>
      </x:c>
      <x:c r="E17" s="375" t="str">
        <x:v>Admin user-account and category-management tests.</x:v>
      </x:c>
      <x:c r="F17" s="374" t="str">
        <x:v>Application/test data needed for the relevant role and workflow state.</x:v>
      </x:c>
    </x:row>
    <x:row r="18" ht="12.75" hidden="0">
      <x:c r="B18" s="371" t="n">
        <x:v>10</x:v>
      </x:c>
      <x:c r="C18" s="372" t="str">
        <x:v>Function J — GUI / Role Navigation / Scope Compliance</x:v>
      </x:c>
      <x:c r="D18" s="375" t="str">
        <x:v>Module5</x:v>
      </x:c>
      <x:c r="E18" s="375" t="str">
        <x:v>GUI/layout, role navigation, scope compliance and required date-time algorithm black-box cases.</x:v>
      </x:c>
      <x:c r="F18" s="374" t="str">
        <x:v>Application/test data needed for the relevant role and workflow state.</x:v>
      </x:c>
    </x:row>
    <x:row r="19" ht="12.75" hidden="0">
      <x:c r="B19" s="371" t="n">
        <x:v>11</x:v>
      </x:c>
      <x:c r="C19" s="372" t="str">
        <x:v>Function K — Date-Time Checking Algorithm (Lab 1 requirement)</x:v>
      </x:c>
      <x:c r="D19" s="375" t="str">
        <x:v>Module5</x:v>
      </x:c>
      <x:c r="E19" s="375" t="str">
        <x:v>GUI/layout, role navigation, scope compliance and required date-time algorithm black-box cases.</x:v>
      </x:c>
      <x:c r="F19" s="374" t="str">
        <x:v>Application/test data needed for the relevant role and workflow state.</x:v>
      </x:c>
    </x:row>
    <x:row r="20" ht="12.75" hidden="0">
      <x:c r="B20" s="55"/>
      <x:c r="C20" s="56"/>
      <x:c r="D20" s="59"/>
      <x:c r="E20" s="59"/>
      <x:c r="F20" s="58"/>
    </x:row>
    <x:row r="21" ht="12.75" hidden="0">
      <x:c r="B21" s="60"/>
      <x:c r="C21" s="61"/>
      <x:c r="D21" s="62"/>
      <x:c r="E21" s="62"/>
      <x:c r="F21" s="63"/>
    </x:row>
  </x:sheetData>
  <x:mergeCells>
    <x:mergeCell ref="B3:C3"/>
    <x:mergeCell ref="D3:F3"/>
    <x:mergeCell ref="B4:C4"/>
    <x:mergeCell ref="D4:F4"/>
    <x:mergeCell ref="B5:C5"/>
    <x:mergeCell ref="D5:F5"/>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9921875" defaultRowHeight="12.75"/>
  <x:cols>
    <x:col min="1" max="1" width="14" style="8" hidden="0" customWidth="1"/>
    <x:col min="2" max="2" width="32" style="8" hidden="0" customWidth="1"/>
    <x:col min="3" max="3" width="42" style="8" hidden="0" customWidth="1"/>
    <x:col min="4" max="4" width="44" style="8" hidden="0" customWidth="1"/>
    <x:col min="5" max="5" width="30" style="8" hidden="0" customWidth="1"/>
    <x:col min="6" max="6" width="12" style="8" hidden="0" customWidth="1"/>
    <x:col min="7" max="7" width="14" style="64" hidden="0" customWidth="1"/>
    <x:col min="8" max="8" width="48" style="8" hidden="0" customWidth="1"/>
    <x:col min="9" max="9" width="8.25" style="65" hidden="0" customWidth="1"/>
    <x:col min="10" max="10" width="8.970000267028809" style="8" hidden="1" customWidth="0"/>
    <x:col min="11" max="257" width="8.989999771118164" style="8" hidden="0" customWidth="0"/>
  </x:cols>
  <x:sheetData>
    <x:row r="1" ht="12.75" hidden="0">
      <x:c r="A1" s="66"/>
      <x:c r="B1" s="67"/>
      <x:c r="C1" s="67"/>
      <x:c r="D1" s="67"/>
      <x:c r="E1" s="67"/>
      <x:c r="F1" s="68"/>
      <x:c r="G1" s="69"/>
      <x:c r="H1" s="70"/>
      <x:c r="I1" s="71"/>
    </x:row>
    <x:row r="2" ht="15" hidden="0" customHeight="1">
      <x:c r="A2" s="271" t="str">
        <x:v>Module Code</x:v>
      </x:c>
      <x:c r="B2" s="73" t="str">
        <x:v>AUTH-CUSTOMER</x:v>
      </x:c>
      <x:c r="C2" s="73"/>
      <x:c r="D2" s="73"/>
      <x:c r="E2" s="73"/>
      <x:c r="F2" s="73"/>
      <x:c r="G2" s="74"/>
      <x:c r="H2" s="70"/>
      <x:c r="I2" s="71"/>
      <x:c r="J2" s="75"/>
    </x:row>
    <x:row r="3" ht="25.5" hidden="0" customHeight="1">
      <x:c r="A3" s="272" t="str">
        <x:v>Test requirement</x:v>
      </x:c>
      <x:c r="B3" s="73" t="str">
        <x:v>Authentication and Customer feedback black-box tests.</x:v>
      </x:c>
      <x:c r="C3" s="73"/>
      <x:c r="D3" s="73"/>
      <x:c r="E3" s="73"/>
      <x:c r="F3" s="73"/>
      <x:c r="G3" s="74"/>
      <x:c r="H3" s="70"/>
      <x:c r="I3" s="71"/>
      <x:c r="J3" s="75"/>
    </x:row>
    <x:row r="4" ht="18" hidden="0" customHeight="1">
      <x:c r="A4" s="271" t="str">
        <x:v>Tester</x:v>
      </x:c>
      <x:c r="B4" s="77" t="str">
        <x:v>Tuan Như</x:v>
      </x:c>
      <x:c r="C4" s="77"/>
      <x:c r="D4" s="77"/>
      <x:c r="E4" s="77"/>
      <x:c r="F4" s="77"/>
      <x:c r="G4" s="74"/>
      <x:c r="H4" s="70"/>
      <x:c r="I4" s="71"/>
      <x:c r="J4" s="78"/>
    </x:row>
    <x:row r="5" ht="19.5" hidden="0" customHeight="1">
      <x:c r="A5" s="273" t="str">
        <x:v>Pass</x:v>
      </x:c>
      <x:c r="B5" s="274" t="str">
        <x:v>Fail</x:v>
      </x:c>
      <x:c r="C5" s="274" t="str">
        <x:v>Untested</x:v>
      </x:c>
      <x:c r="D5" s="275" t="str">
        <x:v>N/A</x:v>
      </x:c>
      <x:c r="E5" s="276" t="str">
        <x:v>Number of Test cases</x:v>
      </x:c>
      <x:c r="F5" s="82"/>
      <x:c r="G5" s="83"/>
      <x:c r="H5" s="83"/>
      <x:c r="I5" s="84"/>
      <x:c r="J5" s="75"/>
    </x:row>
    <x:row r="6" ht="15" hidden="0" customHeight="1">
      <x:c r="A6" s="85" t="n">
        <x:f aca="0">COUNTIF(F9:F39,"Pass")</x:f>
        <x:v>20</x:v>
      </x:c>
      <x:c r="B6" s="86" t="n">
        <x:f aca="0">COUNTIF(F9:F39,"Fail")</x:f>
        <x:v>8</x:v>
      </x:c>
      <x:c r="C6" s="86" t="n">
        <x:f aca="0">COUNTIF(F9:F39,"Untested")</x:f>
        <x:v>0</x:v>
      </x:c>
      <x:c r="D6" s="87" t="n">
        <x:f aca="0"/>
        <x:v>0</x:v>
      </x:c>
      <x:c r="E6" s="88" t="n">
        <x:f aca="0">A6+B6+C6+D6</x:f>
        <x:v>28</x:v>
      </x:c>
      <x:c r="F6" s="88"/>
      <x:c r="G6" s="83"/>
      <x:c r="H6" s="83"/>
      <x:c r="I6" s="84"/>
      <x:c r="J6" s="75"/>
    </x:row>
    <x:row r="7" ht="15" hidden="0" customHeight="1">
      <x:c r="D7" s="89"/>
      <x:c r="E7" s="89"/>
      <x:c r="F7" s="83"/>
      <x:c r="G7" s="83"/>
      <x:c r="H7" s="83"/>
      <x:c r="I7" s="84"/>
    </x:row>
    <x:row r="8" ht="25.5" hidden="0" customHeight="1">
      <x:c r="A8" s="267" t="str">
        <x:v>ID</x:v>
      </x:c>
      <x:c r="B8" s="267" t="str">
        <x:v>Test Case Description</x:v>
      </x:c>
      <x:c r="C8" s="267" t="str">
        <x:v>Test Case Procedure</x:v>
      </x:c>
      <x:c r="D8" s="267" t="str">
        <x:v>Expected Output</x:v>
      </x:c>
      <x:c r="E8" s="268" t="str">
        <x:v>Inter-test case Dependence</x:v>
      </x:c>
      <x:c r="F8" s="268" t="str">
        <x:v>Result</x:v>
      </x:c>
      <x:c r="G8" s="268" t="str">
        <x:v>Test date</x:v>
      </x:c>
      <x:c r="H8" s="267" t="str">
        <x:v>Note</x:v>
      </x:c>
      <x:c r="I8" s="92"/>
    </x:row>
    <x:row r="9" ht="15.75" hidden="0" customHeight="1">
      <x:c r="A9" s="309"/>
      <x:c r="B9" s="309" t="str">
        <x:v>Function A — Authentication</x:v>
      </x:c>
      <x:c r="C9" s="310"/>
      <x:c r="D9" s="310"/>
      <x:c r="E9" s="310"/>
      <x:c r="F9" s="310"/>
      <x:c r="G9" s="311"/>
      <x:c r="H9" s="312"/>
      <x:c r="I9" s="96"/>
    </x:row>
    <x:row r="10" ht="120.94999694824219" hidden="0" customHeight="1">
      <x:c r="A10" s="280" t="str">
        <x:f aca="0"/>
        <x:v>AUTH-01</x:v>
      </x:c>
      <x:c r="B10" s="281" t="str">
        <x:v>Register a Customer with valid information</x:v>
      </x:c>
      <x:c r="C10" s="281" t="str">
        <x:v>1. Open Register page.
2. Enter valid full name, unique email, password and matching confirmation.
3. Submit.</x:v>
      </x:c>
      <x:c r="D10" s="282" t="str">
        <x:v>A new active CUSTOMER account is created and success is shown.</x:v>
      </x:c>
      <x:c r="E10" s="282" t="str">
        <x:v>None</x:v>
      </x:c>
      <x:c r="F10" s="280" t="str">
        <x:v>Pass</x:v>
      </x:c>
      <x:c r="G10" s="300" t="n">
        <x:v>46224</x:v>
      </x:c>
      <x:c r="H10" s="280" t="str">
        <x:v>Executed. Valid registration succeeded for testcustomer2026@test.com. Phone number was optional; registration succeeded without requiring it.</x:v>
      </x:c>
      <x:c r="I10" s="101"/>
    </x:row>
    <x:row r="11" ht="12.75" hidden="0">
      <x:c r="A11" s="280" t="str">
        <x:f aca="0"/>
        <x:v>AUTH-02</x:v>
      </x:c>
      <x:c r="B11" s="280" t="str">
        <x:v>Reject registration when required fields are empty</x:v>
      </x:c>
      <x:c r="C11" s="280" t="str">
        <x:v>1. Open Register page.
2. Leave required fields empty.
3. Submit.</x:v>
      </x:c>
      <x:c r="D11" s="283" t="str">
        <x:v>Registration is blocked and clear validation messages are shown.</x:v>
      </x:c>
      <x:c r="E11" s="283" t="str">
        <x:v>None</x:v>
      </x:c>
      <x:c r="F11" s="280" t="str">
        <x:v>Pass</x:v>
      </x:c>
      <x:c r="G11" s="300" t="n">
        <x:v>46224</x:v>
      </x:c>
      <x:c r="H11" s="280" t="str">
        <x:v>Executed. Empty form was rejected. The form first required Name; after Name was entered it required Email; with Name and Email entered but password missing/invalid it showed: 'Mật khẩu tối thiểu 8 ký tự, gồm chữ hoa, chữ thường, số và ký tự đặc biệt.'. No account was created until required valid input was provided.</x:v>
      </x:c>
      <x:c r="I11" s="101"/>
    </x:row>
    <x:row r="12" ht="12.75" hidden="0">
      <x:c r="A12" s="280" t="str">
        <x:f aca="0"/>
        <x:v>AUTH-03</x:v>
      </x:c>
      <x:c r="B12" s="280" t="str">
        <x:v>Reject registration with invalid email format</x:v>
      </x:c>
      <x:c r="C12" s="280" t="str">
        <x:v>1. Enter an invalid email such as customer@.
2. Complete other fields.
3. Submit.</x:v>
      </x:c>
      <x:c r="D12" s="283" t="str">
        <x:v>Registration is blocked and email-format validation is shown.</x:v>
      </x:c>
      <x:c r="E12" s="283" t="str">
        <x:v>None</x:v>
      </x:c>
      <x:c r="F12" s="280" t="str">
        <x:v>Pass</x:v>
      </x:c>
      <x:c r="G12" s="300" t="n">
        <x:v>46224</x:v>
      </x:c>
      <x:c r="H12" s="280" t="str">
        <x:v>Executed with invalid email 'customer@'. Registration was rejected and the form showed: 'Email không hợp lệ.'.</x:v>
      </x:c>
      <x:c r="I12" s="101"/>
    </x:row>
    <x:row r="13" ht="15.75" hidden="0" customHeight="1">
      <x:c r="A13" s="292" t="str">
        <x:v>AUTH-04</x:v>
      </x:c>
      <x:c r="B13" s="291" t="str">
        <x:v>Reject registration with an already registered email</x:v>
      </x:c>
      <x:c r="C13" s="292" t="str">
        <x:v>1. Register or use an existing email.
2. Attempt to register again with the same email.</x:v>
      </x:c>
      <x:c r="D13" s="292" t="str">
        <x:v>Registration is rejected because user email must be unique.</x:v>
      </x:c>
      <x:c r="E13" s="292" t="str">
        <x:v>None</x:v>
      </x:c>
      <x:c r="F13" s="292" t="str">
        <x:v>Pass</x:v>
      </x:c>
      <x:c r="G13" s="299" t="n">
        <x:v>46224</x:v>
      </x:c>
      <x:c r="H13" s="293" t="str">
        <x:v>Executed using the existing email 'testcustomer2026@test.com'. Registration was rejected and the system showed: "Email 'testcustomer2026@test.com' is already registered."</x:v>
      </x:c>
      <x:c r="I13" s="96"/>
    </x:row>
    <x:row r="14" ht="12.75" hidden="0">
      <x:c r="A14" s="280" t="str">
        <x:f aca="0"/>
        <x:v>AUTH-05</x:v>
      </x:c>
      <x:c r="B14" s="280" t="str">
        <x:v>Reject registration when password confirmation does not match</x:v>
      </x:c>
      <x:c r="C14" s="280" t="str">
        <x:v>1. Enter valid registration data.
2. Enter a different confirmation password.
3. Submit.</x:v>
      </x:c>
      <x:c r="D14" s="280" t="str">
        <x:v>Registration is blocked and password-confirmation validation is shown.</x:v>
      </x:c>
      <x:c r="E14" s="280" t="str">
        <x:v>None</x:v>
      </x:c>
      <x:c r="F14" s="280" t="str">
        <x:v>Pass</x:v>
      </x:c>
      <x:c r="G14" s="300" t="n">
        <x:v>46224</x:v>
      </x:c>
      <x:c r="H14" s="280" t="str">
        <x:v>Executed. When Password was filled but Confirm Password was empty/mismatched, the form rejected submission and showed: 'Mật khẩu xác nhận không khớp.'.</x:v>
      </x:c>
      <x:c r="I14" s="101"/>
    </x:row>
    <x:row r="15" ht="12.75" hidden="0">
      <x:c r="A15" s="280" t="str">
        <x:f aca="0"/>
        <x:v>AUTH-06</x:v>
      </x:c>
      <x:c r="B15" s="280" t="str">
        <x:v>Login with valid active Customer credentials</x:v>
      </x:c>
      <x:c r="C15" s="280" t="str">
        <x:v>1. Open Login page.
2. Enter valid Customer email/password.
3. Login.</x:v>
      </x:c>
      <x:c r="D15" s="280" t="str">
        <x:v>Customer is authenticated and redirected to the Customer area.</x:v>
      </x:c>
      <x:c r="E15" s="280" t="str">
        <x:v>None</x:v>
      </x:c>
      <x:c r="F15" s="280" t="str">
        <x:v>Pass</x:v>
      </x:c>
      <x:c r="G15" s="300" t="n">
        <x:v>46224</x:v>
      </x:c>
      <x:c r="H15" s="280" t="str">
        <x:v>Executed. Customer dashboard opened successfully in the normal login flow. Additional observation from CUS-14: after logging out from another Customer's feedback-detail route and then logging in as a different Customer, the app returned to the previous detail URL instead of the dashboard. Developer should clear stale protected return URLs on logout.</x:v>
      </x:c>
      <x:c r="I15" s="105"/>
    </x:row>
    <x:row r="16" ht="15.75" hidden="0" customHeight="1">
      <x:c r="A16" s="291" t="str">
        <x:v>AUTH-07</x:v>
      </x:c>
      <x:c r="B16" s="291" t="str">
        <x:v>Reject login with invalid credentials</x:v>
      </x:c>
      <x:c r="C16" s="292" t="str">
        <x:v>1. Open Login.
2. Enter incorrect email/password.
3. Login.</x:v>
      </x:c>
      <x:c r="D16" s="292" t="str">
        <x:v>Login fails without creating an authenticated session.</x:v>
      </x:c>
      <x:c r="E16" s="292" t="str">
        <x:v>None</x:v>
      </x:c>
      <x:c r="F16" s="292" t="str">
        <x:v>Pass</x:v>
      </x:c>
      <x:c r="G16" s="299" t="n">
        <x:v>46224</x:v>
      </x:c>
      <x:c r="H16" s="293" t="str">
        <x:v>Executed. Using an existing valid email with a wrong password showed 'Invalid email or password.' Login was rejected and the user stayed logged out.</x:v>
      </x:c>
      <x:c r="I16" s="96"/>
    </x:row>
    <x:row r="17" ht="12.75" hidden="0">
      <x:c r="A17" s="280" t="str">
        <x:f aca="0"/>
        <x:v>AUTH-08</x:v>
      </x:c>
      <x:c r="B17" s="280" t="str">
        <x:v>Reject login for an inactive account</x:v>
      </x:c>
      <x:c r="C17" s="280" t="str">
        <x:v>1. Use an inactive user account.
2. Enter correct credentials.
3. Login.</x:v>
      </x:c>
      <x:c r="D17" s="280" t="str">
        <x:v>Login is rejected because inactive accounts cannot access the system.</x:v>
      </x:c>
      <x:c r="E17" s="280" t="str">
        <x:v>None</x:v>
      </x:c>
      <x:c r="F17" s="280" t="str">
        <x:v>Pass</x:v>
      </x:c>
      <x:c r="G17" s="300" t="n">
        <x:v>46224</x:v>
      </x:c>
      <x:c r="H17" s="280" t="str">
        <x:v>Executed using the deactivated account staff1@test.com with the correct password. Login was rejected and the system showed: 'This account has been disabled. Please contact support.'. This confirms inactive/disabled accounts cannot authenticate.</x:v>
      </x:c>
      <x:c r="I17" s="101"/>
    </x:row>
    <x:row r="18">
      <x:c r="A18" s="294" t="str">
        <x:v>AUTH-09</x:v>
      </x:c>
      <x:c r="B18" s="294" t="str">
        <x:v>Logout an authenticated user</x:v>
      </x:c>
      <x:c r="C18" s="294" t="str">
        <x:v>1. Login as Customer.
2. Click Logout.</x:v>
      </x:c>
      <x:c r="D18" s="294" t="str">
        <x:v>Authenticated session ends and user returns to Login/public page.</x:v>
      </x:c>
      <x:c r="E18" s="294" t="str">
        <x:v>None</x:v>
      </x:c>
      <x:c r="F18" s="294" t="str">
        <x:v>Pass</x:v>
      </x:c>
      <x:c r="G18" s="301" t="n">
        <x:v>46224</x:v>
      </x:c>
      <x:c r="H18" s="294" t="str">
        <x:v>Executed. Logout returned the user to the Login page and the authenticated session ended.</x:v>
      </x:c>
    </x:row>
    <x:row r="19">
      <x:c r="A19" s="294" t="str">
        <x:v>AUTH-10</x:v>
      </x:c>
      <x:c r="B19" s="294" t="str">
        <x:v>Block protected page access after logout</x:v>
      </x:c>
      <x:c r="C19" s="294" t="str">
        <x:v>1. Complete AUTH-09.
2. Manually browse to a protected route such as /dashboard.</x:v>
      </x:c>
      <x:c r="D19" s="294" t="str">
        <x:v>User is redirected to Login or denied access.</x:v>
      </x:c>
      <x:c r="E19" s="294" t="str">
        <x:v>AUTH-09</x:v>
      </x:c>
      <x:c r="F19" s="294" t="str">
        <x:v>Pass</x:v>
      </x:c>
      <x:c r="G19" s="301" t="n">
        <x:v>46224</x:v>
      </x:c>
      <x:c r="H19" s="294" t="str">
        <x:v>Executed. After logout, manually opening http://localhost:5173/dashboard refreshed/redirected back to Login; protected dashboard was not accessible.</x:v>
      </x:c>
    </x:row>
    <x:row r="20">
      <x:c r="A20" s="325"/>
      <x:c r="B20" s="325" t="str">
        <x:v>Function B — Submit Feedback &amp; Input Validation</x:v>
      </x:c>
      <x:c r="C20" s="325"/>
      <x:c r="D20" s="325"/>
      <x:c r="E20" s="325"/>
      <x:c r="F20" s="325"/>
      <x:c r="G20" s="326"/>
      <x:c r="H20" s="325"/>
    </x:row>
    <x:row r="21">
      <x:c r="A21" s="294" t="str">
        <x:v>CUS-01</x:v>
      </x:c>
      <x:c r="B21" s="294" t="str">
        <x:v>Show active feedback categories on submission form</x:v>
      </x:c>
      <x:c r="C21" s="294" t="str">
        <x:v>1. Login as Customer.
2. Open Submit Feedback.
3. Open Category list.</x:v>
      </x:c>
      <x:c r="D21" s="294" t="str">
        <x:v>Only active feedback categories are available.</x:v>
      </x:c>
      <x:c r="E21" s="294" t="str">
        <x:v>None</x:v>
      </x:c>
      <x:c r="F21" s="294" t="str">
        <x:v>Pass</x:v>
      </x:c>
      <x:c r="G21" s="301" t="n">
        <x:v>46224</x:v>
      </x:c>
      <x:c r="H21" s="294" t="str">
        <x:v>Executed. 'Service' appeared after one active test category was inserted into the clean DB.</x:v>
      </x:c>
    </x:row>
    <x:row r="22">
      <x:c r="A22" s="294" t="str">
        <x:v>CUS-02</x:v>
      </x:c>
      <x:c r="B22" s="294" t="str">
        <x:v>Submit valid feedback</x:v>
      </x:c>
      <x:c r="C22" s="294" t="str">
        <x:v>1. Login as Customer.
2. Open Submit Feedback.
3. Select active category.
4. Enter valid title/description/rating.
5. Submit.</x:v>
      </x:c>
      <x:c r="D22" s="294" t="str">
        <x:v>One feedback is created with initial status SUBMITTED and the UI reports success.</x:v>
      </x:c>
      <x:c r="E22" s="294" t="str">
        <x:v>CUS-01</x:v>
      </x:c>
      <x:c r="F22" s="294" t="str">
        <x:v>Fail</x:v>
      </x:c>
      <x:c r="G22" s="301" t="n">
        <x:v>46224</x:v>
      </x:c>
      <x:c r="H22" s="294" t="str">
        <x:v>Record is created and appears as SUBMITTED, but the UI can display 'An unexpected error occurred' after persistence.</x:v>
      </x:c>
    </x:row>
    <x:row r="23">
      <x:c r="A23" s="294" t="str">
        <x:v>CUS-03</x:v>
      </x:c>
      <x:c r="B23" s="294" t="str">
        <x:v>Reject title shorter than 5 characters</x:v>
      </x:c>
      <x:c r="C23" s="294" t="str">
        <x:v>1. Enter a 4-character title.
2. Enter otherwise valid values.
3. Submit.</x:v>
      </x:c>
      <x:c r="D23" s="294" t="str">
        <x:v>Submission is blocked; title must contain at least 5 characters.</x:v>
      </x:c>
      <x:c r="E23" s="294" t="str">
        <x:v>None</x:v>
      </x:c>
      <x:c r="F23" s="294" t="str">
        <x:v>Fail</x:v>
      </x:c>
      <x:c r="G23" s="301" t="n">
        <x:v>46224</x:v>
      </x:c>
      <x:c r="H23" s="294" t="str">
        <x:v>Role: Customer. Current: Title='Test' (4 characters) was accepted; UI showed 'Gửi phản hồi thành công!' and created a SUBMITTED feedback. Expected: reject titles shorter than 5 characters. Fix suggestion for developer: enforce title length 5–200 in BOTH frontend validation and backend/API validation so invalid requests cannot be saved even if FE validation is bypassed.</x:v>
      </x:c>
    </x:row>
    <x:row r="24">
      <x:c r="A24" s="294" t="str">
        <x:v>CUS-04</x:v>
      </x:c>
      <x:c r="B24" s="294" t="str">
        <x:v>Accept title at lower boundary of 5 characters</x:v>
      </x:c>
      <x:c r="C24" s="294" t="str">
        <x:v>1. Enter a 5-character title.
2. Enter otherwise valid values.
3. Submit.</x:v>
      </x:c>
      <x:c r="D24" s="294" t="str">
        <x:v>Title passes length validation.</x:v>
      </x:c>
      <x:c r="E24" s="294" t="str">
        <x:v>None</x:v>
      </x:c>
      <x:c r="F24" s="294" t="str">
        <x:v>Pass</x:v>
      </x:c>
      <x:c r="G24" s="301" t="n">
        <x:v>46224</x:v>
      </x:c>
      <x:c r="H24" s="294" t="str">
        <x:v>Executed with Title='Tests' (exactly 5 characters), Category='Service', valid description, and no attachment. The system accepted the submission and showed: 'Gửi phản hồi thành công!'. This matches the expected lower-boundary behavior for a 5-character title.</x:v>
      </x:c>
    </x:row>
    <x:row r="25">
      <x:c r="A25" s="294" t="str">
        <x:v>CUS-05</x:v>
      </x:c>
      <x:c r="B25" s="294" t="str">
        <x:v>Accept title at upper boundary of 200 characters</x:v>
      </x:c>
      <x:c r="C25" s="294" t="str">
        <x:v>1. Enter a 200-character title.
2. Enter otherwise valid values.
3. Submit.</x:v>
      </x:c>
      <x:c r="D25" s="294" t="str">
        <x:v>Title passes length validation.</x:v>
      </x:c>
      <x:c r="E25" s="294" t="str">
        <x:v>None</x:v>
      </x:c>
      <x:c r="F25" s="294" t="str">
        <x:v>Pass</x:v>
      </x:c>
      <x:c r="G25" s="301" t="n">
        <x:v>46224</x:v>
      </x:c>
      <x:c r="H25" s="294" t="str">
        <x:v>Executed with a title of exactly 200 characters, Category='Service', valid description, and no attachment. The system accepted the submission and showed: 'Gửi phản hồi thành công!'. This matches the expected upper-boundary behavior for the 200-character title limit.</x:v>
      </x:c>
    </x:row>
    <x:row r="26">
      <x:c r="A26" s="294" t="str">
        <x:v>CUS-06</x:v>
      </x:c>
      <x:c r="B26" s="294" t="str">
        <x:v>Reject title longer than 200 characters</x:v>
      </x:c>
      <x:c r="C26" s="294" t="str">
        <x:v>1. Enter a 201-character title.
2. Enter otherwise valid values.
3. Submit.</x:v>
      </x:c>
      <x:c r="D26" s="294" t="str">
        <x:v>Submission is blocked; title exceeds maximum length.</x:v>
      </x:c>
      <x:c r="E26" s="294" t="str">
        <x:v>None</x:v>
      </x:c>
      <x:c r="F26" s="294" t="str">
        <x:v>Pass</x:v>
      </x:c>
      <x:c r="G26" s="301" t="n">
        <x:v>46224</x:v>
      </x:c>
      <x:c r="H26" s="294" t="str">
        <x:v>Executed by attempting to enter a 201-character title. The title field stopped accepting input at 200 characters, so a 201st character could not be entered through the UI. Submitting then succeeded because the actual title length was 200. This is correct GUI behavior for the 200-character maximum. Developer note: backend/API rejection of &gt;200 characters is not verified by this UI-only case.</x:v>
      </x:c>
    </x:row>
    <x:row r="27">
      <x:c r="A27" s="294" t="str">
        <x:v>CUS-07</x:v>
      </x:c>
      <x:c r="B27" s="294" t="str">
        <x:v>Reject description shorter than 10 characters</x:v>
      </x:c>
      <x:c r="C27" s="294" t="str">
        <x:v>1. Enter a 9-character description.
2. Enter otherwise valid values.
3. Submit.</x:v>
      </x:c>
      <x:c r="D27" s="294" t="str">
        <x:v>Submission is blocked; description must contain at least 10 characters.</x:v>
      </x:c>
      <x:c r="E27" s="294" t="str">
        <x:v>None</x:v>
      </x:c>
      <x:c r="F27" s="294" t="str">
        <x:v>Fail</x:v>
      </x:c>
      <x:c r="G27" s="301" t="n">
        <x:v>46224</x:v>
      </x:c>
      <x:c r="H27" s="294" t="str">
        <x:v>Role: Customer. Executed with a valid title, Category='Service', Description='123456789' (exactly 9 characters), and no attachment. Current: the system incorrectly accepted the submission and showed 'Gửi phản hồi thành công!'. Expected: reject descriptions shorter than 10 characters. Fix suggestion for developer: enforce description length 10–2000 in BOTH frontend validation and backend/API validation.</x:v>
      </x:c>
    </x:row>
    <x:row r="28">
      <x:c r="A28" s="294" t="str">
        <x:v>CUS-08</x:v>
      </x:c>
      <x:c r="B28" s="294" t="str">
        <x:v>Reject description longer than 2000 characters</x:v>
      </x:c>
      <x:c r="C28" s="294" t="str">
        <x:v>1. Enter a 2001-character description.
2. Enter otherwise valid values.
3. Submit.</x:v>
      </x:c>
      <x:c r="D28" s="294" t="str">
        <x:v>Submission is blocked; description exceeds maximum length.</x:v>
      </x:c>
      <x:c r="E28" s="294" t="str">
        <x:v>None</x:v>
      </x:c>
      <x:c r="F28" s="294" t="str">
        <x:v>Fail</x:v>
      </x:c>
      <x:c r="G28" s="301" t="n">
        <x:v>46224</x:v>
      </x:c>
      <x:c r="H28" s="294" t="str">
        <x:v>Role: Customer. Executed by pasting a 2001-character description into Submit Feedback with a valid title and Category='Service'. Current: the system accepted the submission, showed success, created a SUBMITTED feedback, and the detail page displays the oversized description. Expected: reject descriptions longer than 2000 characters. Fix suggestion for developer: enforce max description length = 2000 in BOTH frontend textarea/input validation (e.g. maxlength) and backend/API validation so oversized requests cannot be persisted.</x:v>
      </x:c>
    </x:row>
    <x:row r="29">
      <x:c r="A29" s="294" t="str">
        <x:v>CUS-09</x:v>
      </x:c>
      <x:c r="B29" s="294" t="str">
        <x:v>Require rating from 1 to 5 on submission</x:v>
      </x:c>
      <x:c r="C29" s="294" t="str">
        <x:v>1. Open Submit Feedback.
2. Inspect required fields and attempt submission without a rating.</x:v>
      </x:c>
      <x:c r="D29" s="294" t="str">
        <x:v>A required integer rating field 1–5 is present and validation prevents missing rating.</x:v>
      </x:c>
      <x:c r="E29" s="294" t="str">
        <x:v>None</x:v>
      </x:c>
      <x:c r="F29" s="294" t="str">
        <x:v>Fail</x:v>
      </x:c>
      <x:c r="G29" s="301" t="n">
        <x:v>46224</x:v>
      </x:c>
      <x:c r="H29" s="294" t="str">
        <x:v>Current FE has no rating input field on Submit Feedback.</x:v>
      </x:c>
    </x:row>
    <x:row r="30">
      <x:c r="A30" s="294" t="str">
        <x:v>CUS-10</x:v>
      </x:c>
      <x:c r="B30" s="294" t="str">
        <x:v>Reject inactive category for new feedback</x:v>
      </x:c>
      <x:c r="C30" s="294" t="str">
        <x:v>1. Make a category inactive.
2. Open Submit Feedback.
3. Try to select/use that category.</x:v>
      </x:c>
      <x:c r="D30" s="294" t="str">
        <x:v>Inactive category cannot be selected for a new feedback.</x:v>
      </x:c>
      <x:c r="E30" s="294" t="str">
        <x:v>None</x:v>
      </x:c>
      <x:c r="F30" s="294" t="str">
        <x:v>Pass</x:v>
      </x:c>
      <x:c r="G30" s="301" t="n">
        <x:v>46224</x:v>
      </x:c>
      <x:c r="H30" s="294" t="str">
        <x:v>Role: Customer. After Admin deactivated the category 'Product Quality', opened Submit Feedback and checked the category dropdown. The inactive category 'Product Quality' was not listed, while active categories such as 'idk' and 'Service' remained selectable. Expected: inactive categories cannot be selected for new feedback. Result matches the requirement.</x:v>
      </x:c>
    </x:row>
    <x:row r="31">
      <x:c r="A31" s="325"/>
      <x:c r="B31" s="325" t="str">
        <x:v>Function C — Customer Feedback Access / Edit / Cancel</x:v>
      </x:c>
      <x:c r="C31" s="325"/>
      <x:c r="D31" s="325"/>
      <x:c r="E31" s="325"/>
      <x:c r="F31" s="325"/>
      <x:c r="G31" s="326"/>
      <x:c r="H31" s="325"/>
    </x:row>
    <x:row r="32">
      <x:c r="A32" s="294" t="str">
        <x:v>CUS-11</x:v>
      </x:c>
      <x:c r="B32" s="294" t="str">
        <x:v>View own feedback list</x:v>
      </x:c>
      <x:c r="C32" s="294" t="str">
        <x:v>1. Login as Customer.
2. Open My Feedback.</x:v>
      </x:c>
      <x:c r="D32" s="294" t="str">
        <x:v>Only feedback owned by the authenticated Customer is listed.</x:v>
      </x:c>
      <x:c r="E32" s="294" t="str">
        <x:v>None</x:v>
      </x:c>
      <x:c r="F32" s="294" t="str">
        <x:v>Pass</x:v>
      </x:c>
      <x:c r="G32" s="301" t="n">
        <x:v>46224</x:v>
      </x:c>
      <x:c r="H32" s="294" t="str">
        <x:v>Executed. Owned feedback was displayed.</x:v>
      </x:c>
    </x:row>
    <x:row r="33">
      <x:c r="A33" s="294" t="str">
        <x:v>CUS-12</x:v>
      </x:c>
      <x:c r="B33" s="294" t="str">
        <x:v>View own feedback detail</x:v>
      </x:c>
      <x:c r="C33" s="294" t="str">
        <x:v>1. Open My Feedback.
2. Select Details on an owned feedback.</x:v>
      </x:c>
      <x:c r="D33" s="294" t="str">
        <x:v>Detail page shows category, title, description, status, timestamps, responses and status history.</x:v>
      </x:c>
      <x:c r="E33" s="294" t="str">
        <x:v>CUS-11</x:v>
      </x:c>
      <x:c r="F33" s="294" t="str">
        <x:v>Pass</x:v>
      </x:c>
      <x:c r="G33" s="301" t="n">
        <x:v>46224</x:v>
      </x:c>
      <x:c r="H33" s="294" t="str">
        <x:v>Executed. Detail page opened with title, description, category, status and history.</x:v>
      </x:c>
    </x:row>
    <x:row r="34">
      <x:c r="A34" s="294" t="str">
        <x:v>CUS-13</x:v>
      </x:c>
      <x:c r="B34" s="294" t="str">
        <x:v>Show the required feedback rating in detail</x:v>
      </x:c>
      <x:c r="C34" s="294" t="str">
        <x:v>1. Open an owned feedback detail.</x:v>
      </x:c>
      <x:c r="D34" s="294" t="str">
        <x:v>The submitted rating 1–5 is displayed.</x:v>
      </x:c>
      <x:c r="E34" s="294" t="str">
        <x:v>CUS-12</x:v>
      </x:c>
      <x:c r="F34" s="294" t="str">
        <x:v>Fail</x:v>
      </x:c>
      <x:c r="G34" s="301" t="n">
        <x:v>46224</x:v>
      </x:c>
      <x:c r="H34" s="294" t="str">
        <x:v>Current detail showed no submitted rating / displayed no rating because submission does not collect it.</x:v>
      </x:c>
    </x:row>
    <x:row r="35">
      <x:c r="A35" s="294" t="str">
        <x:v>CUS-14</x:v>
      </x:c>
      <x:c r="B35" s="294" t="str">
        <x:v>Block Customer from viewing another Customer's feedback</x:v>
      </x:c>
      <x:c r="C35" s="294" t="str">
        <x:v>1. Login as Customer A.
2. Try to open a feedback ID owned by Customer B.</x:v>
      </x:c>
      <x:c r="D35" s="294" t="str">
        <x:v>Access is denied; Customer A cannot read Customer B's feedback.</x:v>
      </x:c>
      <x:c r="E35" s="294" t="str">
        <x:v>None</x:v>
      </x:c>
      <x:c r="F35" s="294" t="str">
        <x:v>Pass</x:v>
      </x:c>
      <x:c r="G35" s="301" t="n">
        <x:v>46224</x:v>
      </x:c>
      <x:c r="H35" s="294" t="str">
        <x:v>Role: Customer. Customer A attempted to open a feedback detail URL owned by another Customer. Current authorization result: access was correctly blocked and the UI showed 'Customers can only access their own feedback.'. Expected: Customer must not be able to view another Customer's feedback. IMPORTANT navigation observation: while logged in as Customer B, the user opened B's feedback detail, then logged out and immediately logged in as Customer A. After login, the app returned to the SAME previous feedback-detail URL instead of starting at the Customer dashboard/home, so Customer A immediately saw the ownership error. CUS-14 remains PASS for security/ownership enforcement, but this is a separate UX/navigation issue. Fix suggestion for developer: clear any stale protected return URL/current route on logout, and after a fresh login redirect to the role dashboard/home unless there is an explicitly intended and still-valid return URL for the same user.</x:v>
      </x:c>
    </x:row>
    <x:row r="36">
      <x:c r="A36" s="294" t="str">
        <x:v>CUS-15</x:v>
      </x:c>
      <x:c r="B36" s="294" t="str">
        <x:v>Edit own feedback while status is SUBMITTED</x:v>
      </x:c>
      <x:c r="C36" s="294" t="str">
        <x:v>1. Open own SUBMITTED feedback.
2. Edit category/title/description/rating.
3. Save.</x:v>
      </x:c>
      <x:c r="D36" s="294" t="str">
        <x:v>Valid changes are saved while feedback remains SUBMITTED.</x:v>
      </x:c>
      <x:c r="E36" s="294" t="str">
        <x:v>None</x:v>
      </x:c>
      <x:c r="F36" s="294" t="str">
        <x:v>Fail</x:v>
      </x:c>
      <x:c r="G36" s="301" t="n">
        <x:v>46224</x:v>
      </x:c>
      <x:c r="H36" s="294" t="str">
        <x:v>Current FE shows no Edit function/button for SUBMITTED feedback.</x:v>
      </x:c>
    </x:row>
    <x:row r="37">
      <x:c r="A37" s="294" t="str">
        <x:v>CUS-16</x:v>
      </x:c>
      <x:c r="B37" s="294" t="str">
        <x:v>Reject Customer edit after feedback is assigned</x:v>
      </x:c>
      <x:c r="C37" s="294" t="str">
        <x:v>1. Use own feedback with status ASSIGNED or later.
2. Attempt to edit.</x:v>
      </x:c>
      <x:c r="D37" s="294" t="str">
        <x:v>Edit is blocked because Customer edit is allowed only while SUBMITTED.</x:v>
      </x:c>
      <x:c r="E37" s="294" t="str">
        <x:v>None</x:v>
      </x:c>
      <x:c r="F37" s="294" t="str">
        <x:v>Pass</x:v>
      </x:c>
      <x:c r="G37" s="301" t="n">
        <x:v>46224</x:v>
      </x:c>
      <x:c r="H37" s="294" t="str">
        <x:v>Role: Customer. Feedback '#25d46170' / title 'idk' is owned by customer2test2026@test.com and was prepared in IN_PROGRESS status. Logged in as the owner and opened the feedback detail page. Observed result: no Edit / Chỉnh sửa action was available to the Customer while the feedback was IN_PROGRESS. Expected: Customer may edit own feedback only while status is SUBMITTED. Result matches the requirement.</x:v>
      </x:c>
    </x:row>
    <x:row r="38">
      <x:c r="A38" s="294" t="str">
        <x:v>CUS-17</x:v>
      </x:c>
      <x:c r="B38" s="294" t="str">
        <x:v>Cancel own feedback while status is SUBMITTED</x:v>
      </x:c>
      <x:c r="C38" s="294" t="str">
        <x:v>1. Open own SUBMITTED feedback.
2. Click Cancel/Hủy.
3. Confirm.</x:v>
      </x:c>
      <x:c r="D38" s="294" t="str">
        <x:v>Status changes SUBMITTED → CANCELLED; record remains stored and becomes read-only.</x:v>
      </x:c>
      <x:c r="E38" s="294" t="str">
        <x:v>None</x:v>
      </x:c>
      <x:c r="F38" s="294" t="str">
        <x:v>Fail</x:v>
      </x:c>
      <x:c r="G38" s="301" t="n">
        <x:v>46224</x:v>
      </x:c>
      <x:c r="H38" s="294" t="str">
        <x:v>PATCH /api/Feedback/{id}/cancel returned HTTP 500 with DbUpdateConcurrencyException; status stayed SUBMITTED.</x:v>
      </x:c>
    </x:row>
    <x:row r="39">
      <x:c r="A39" s="294" t="str">
        <x:v>CUS-18</x:v>
      </x:c>
      <x:c r="B39" s="294" t="str">
        <x:v>Reject Customer cancellation after assignment</x:v>
      </x:c>
      <x:c r="C39" s="294" t="str">
        <x:v>1. Use own feedback with status ASSIGNED or later.
2. Attempt cancellation.</x:v>
      </x:c>
      <x:c r="D39" s="294" t="str">
        <x:v>Cancellation is blocked because only SUBMITTED feedback can be cancelled.</x:v>
      </x:c>
      <x:c r="E39" s="294" t="str">
        <x:v>None</x:v>
      </x:c>
      <x:c r="F39" s="294" t="str">
        <x:v>Pass</x:v>
      </x:c>
      <x:c r="G39" s="301" t="n">
        <x:v>46224</x:v>
      </x:c>
      <x:c r="H39" s="294" t="str">
        <x:v>Role: Customer. Feedback '#25d46170' / title 'idk' is owned by customer2test2026@test.com and was prepared in IN_PROGRESS status. Logged in as the owner and opened the feedback detail page. Observed result: no Cancel / Hủy phản hồi action was available to the Customer while the feedback was IN_PROGRESS. Expected: Customer may cancel own feedback only while status is SUBMITTED. Result matches the requirement.</x:v>
      </x:c>
    </x:row>
  </x:sheetData>
  <x:mergeCells>
    <x:mergeCell ref="B2:F2"/>
    <x:mergeCell ref="B3:F3"/>
    <x:mergeCell ref="B4:F4"/>
    <x:mergeCell ref="E5:F5"/>
    <x:mergeCell ref="E6:F6"/>
  </x:mergeCells>
  <x:conditionalFormatting sqref="F9:F39">
    <x:cfRule type="expression" dxfId="6" priority="1">
      <x:formula>F9="Pass"</x:formula>
    </x:cfRule>
    <x:cfRule type="expression" dxfId="7" priority="2">
      <x:formula>F9="Fail"</x:formula>
    </x:cfRule>
    <x:cfRule type="expression" dxfId="8" priority="3">
      <x:formula>F9="Untested"</x:formula>
    </x:cfRule>
  </x:conditionalFormatting>
  <x:dataValidations count="1">
    <x:dataValidation type="list" errorStyle="stop" operator="between" allowBlank="1" showDropDown="0" showInputMessage="0" showErrorMessage="1" sqref="F1:F3 F7:F145">
      <x:formula1>$J$2:$J$6</x:formula1>
      <x:formula2>0</x:formula2>
    </x:dataValidation>
  </x:dataValidations>
  <x:pageMargins left="0.7" right="0.7" top="0.75" bottom="0.75" header="0.3" footer="0.3"/>
  <x:legacyDrawing xmlns:r="http://schemas.openxmlformats.org/officeDocument/2006/relationships" r:id="R82cccc8dddf34c7d"/>
</x:worksheet>
</file>

<file path=xl/worksheets/sheet4.xml><?xml version="1.0" encoding="utf-8"?>
<x:worksheet xmlns:x="http://schemas.openxmlformats.org/spreadsheetml/2006/main">
  <x:sheetViews>
    <x:sheetView showGridLines="1" workbookViewId="0"/>
  </x:sheetViews>
  <x:sheetFormatPr defaultColWidth="8.9921875" defaultRowHeight="12.75"/>
  <x:cols>
    <x:col min="1" max="1" width="14" style="8" hidden="0" customWidth="1"/>
    <x:col min="2" max="2" width="32" style="8" hidden="0" customWidth="1"/>
    <x:col min="3" max="3" width="42" style="8" hidden="0" customWidth="1"/>
    <x:col min="4" max="4" width="44" style="8" hidden="0" customWidth="1"/>
    <x:col min="5" max="5" width="30" style="8" hidden="0" customWidth="1"/>
    <x:col min="6" max="6" width="12" style="8" hidden="0" customWidth="1"/>
    <x:col min="7" max="7" width="14" style="64" hidden="0" customWidth="1"/>
    <x:col min="8" max="8" width="48" style="8" hidden="0" customWidth="1"/>
    <x:col min="9" max="9" width="8.25" style="65" hidden="0" customWidth="1"/>
    <x:col min="10" max="10" width="8.970000267028809" style="8" hidden="1" customWidth="0"/>
    <x:col min="11" max="257" width="8.989999771118164" style="8" hidden="0" customWidth="0"/>
  </x:cols>
  <x:sheetData>
    <x:row r="1" ht="12.75" hidden="0">
      <x:c r="A1" s="66"/>
      <x:c r="B1" s="67"/>
      <x:c r="C1" s="67"/>
      <x:c r="D1" s="67"/>
      <x:c r="E1" s="67"/>
      <x:c r="F1" s="68"/>
      <x:c r="G1" s="69"/>
      <x:c r="H1" s="70"/>
      <x:c r="I1" s="71"/>
    </x:row>
    <x:row r="2" ht="15" hidden="0" customHeight="1">
      <x:c r="A2" s="271" t="str">
        <x:v>Module Code</x:v>
      </x:c>
      <x:c r="B2" s="73" t="str">
        <x:v>STAFF</x:v>
      </x:c>
      <x:c r="C2" s="73"/>
      <x:c r="D2" s="73"/>
      <x:c r="E2" s="73"/>
      <x:c r="F2" s="73"/>
      <x:c r="G2" s="74"/>
      <x:c r="H2" s="70"/>
      <x:c r="I2" s="71"/>
      <x:c r="J2" s="75"/>
    </x:row>
    <x:row r="3" ht="25.5" hidden="0" customHeight="1">
      <x:c r="A3" s="272" t="str">
        <x:v>Test requirement</x:v>
      </x:c>
      <x:c r="B3" s="73" t="str">
        <x:v>Staff assignment, processing, response and resolution tests.</x:v>
      </x:c>
      <x:c r="C3" s="73"/>
      <x:c r="D3" s="73"/>
      <x:c r="E3" s="73"/>
      <x:c r="F3" s="73"/>
      <x:c r="G3" s="74"/>
      <x:c r="H3" s="70"/>
      <x:c r="I3" s="71"/>
      <x:c r="J3" s="75"/>
    </x:row>
    <x:row r="4" ht="18" hidden="0" customHeight="1">
      <x:c r="A4" s="271" t="str">
        <x:v>Tester</x:v>
      </x:c>
      <x:c r="B4" s="77" t="str">
        <x:v>Tuan Như</x:v>
      </x:c>
      <x:c r="C4" s="77"/>
      <x:c r="D4" s="77"/>
      <x:c r="E4" s="77"/>
      <x:c r="F4" s="77"/>
      <x:c r="G4" s="74"/>
      <x:c r="H4" s="70"/>
      <x:c r="I4" s="71"/>
      <x:c r="J4" s="78"/>
    </x:row>
    <x:row r="5" ht="19.5" hidden="0" customHeight="1">
      <x:c r="A5" s="273" t="str">
        <x:v>Pass</x:v>
      </x:c>
      <x:c r="B5" s="274" t="str">
        <x:v>Fail</x:v>
      </x:c>
      <x:c r="C5" s="274" t="str">
        <x:v>Untested</x:v>
      </x:c>
      <x:c r="D5" s="275" t="str">
        <x:v>N/A</x:v>
      </x:c>
      <x:c r="E5" s="276" t="str">
        <x:v>Number of Test cases</x:v>
      </x:c>
      <x:c r="F5" s="82"/>
      <x:c r="G5" s="83"/>
      <x:c r="H5" s="83"/>
      <x:c r="I5" s="84"/>
      <x:c r="J5" s="75"/>
    </x:row>
    <x:row r="6" ht="15" hidden="0" customHeight="1">
      <x:c r="A6" s="106" t="n">
        <x:f aca="0">COUNTIF(F9:F21,"Pass")</x:f>
        <x:v>7</x:v>
      </x:c>
      <x:c r="B6" s="86" t="n">
        <x:f aca="0">COUNTIF(F9:F21,"Fail")</x:f>
        <x:v>4</x:v>
      </x:c>
      <x:c r="C6" s="86" t="n">
        <x:f aca="0">COUNTIF(F9:F21,"Untested")</x:f>
        <x:v>0</x:v>
      </x:c>
      <x:c r="D6" s="87" t="n">
        <x:f aca="0"/>
        <x:v>0</x:v>
      </x:c>
      <x:c r="E6" s="88" t="n">
        <x:f aca="0">A6+B6+C6+D6</x:f>
        <x:v>11</x:v>
      </x:c>
      <x:c r="F6" s="88"/>
      <x:c r="G6" s="83"/>
      <x:c r="H6" s="83"/>
      <x:c r="I6" s="84"/>
      <x:c r="J6" s="75"/>
    </x:row>
    <x:row r="7" ht="15" hidden="0" customHeight="1">
      <x:c r="D7" s="89"/>
      <x:c r="E7" s="89"/>
      <x:c r="F7" s="89"/>
      <x:c r="G7" s="89"/>
      <x:c r="H7" s="89"/>
      <x:c r="I7" s="84"/>
    </x:row>
    <x:row r="8" ht="25.5" hidden="0" customHeight="1">
      <x:c r="A8" s="267" t="str">
        <x:v>ID</x:v>
      </x:c>
      <x:c r="B8" s="267" t="str">
        <x:v>Test Case Description</x:v>
      </x:c>
      <x:c r="C8" s="267" t="str">
        <x:v>Test Case Procedure</x:v>
      </x:c>
      <x:c r="D8" s="267" t="str">
        <x:v>Expected Output</x:v>
      </x:c>
      <x:c r="E8" s="268" t="str">
        <x:v>Inter-test case Dependence</x:v>
      </x:c>
      <x:c r="F8" s="268" t="str">
        <x:v>Result</x:v>
      </x:c>
      <x:c r="G8" s="268" t="str">
        <x:v>Test date</x:v>
      </x:c>
      <x:c r="H8" s="267" t="str">
        <x:v>Note</x:v>
      </x:c>
      <x:c r="I8" s="92"/>
    </x:row>
    <x:row r="9" ht="15.75" hidden="0" customHeight="1">
      <x:c r="A9" s="309"/>
      <x:c r="B9" s="309" t="str">
        <x:v>Function D — Staff Assigned Work</x:v>
      </x:c>
      <x:c r="C9" s="310"/>
      <x:c r="D9" s="310"/>
      <x:c r="E9" s="310"/>
      <x:c r="F9" s="310"/>
      <x:c r="G9" s="311"/>
      <x:c r="H9" s="312"/>
      <x:c r="I9" s="96"/>
    </x:row>
    <x:row r="10" ht="120.94999694824219" hidden="0" customHeight="1">
      <x:c r="A10" s="280" t="str">
        <x:f aca="0"/>
        <x:v>STAFF-01</x:v>
      </x:c>
      <x:c r="B10" s="281" t="str">
        <x:v>View only feedback currently assigned to Staff</x:v>
      </x:c>
      <x:c r="C10" s="281" t="str">
        <x:v>1. Login as Staff A.
2. Open Assigned Feedback.</x:v>
      </x:c>
      <x:c r="D10" s="282" t="str">
        <x:v>Staff A sees only feedback currently assigned to Staff A.</x:v>
      </x:c>
      <x:c r="E10" s="282" t="str">
        <x:v>None</x:v>
      </x:c>
      <x:c r="F10" s="280" t="str">
        <x:v>Pass</x:v>
      </x:c>
      <x:c r="G10" s="300" t="n">
        <x:v>46224</x:v>
      </x:c>
      <x:c r="H10" s="333" t="str">
        <x:v>Role: Staff (current implementation role = SupportStaff). After test-data setup assigned feedback '#25d46170' / title 'idk' to staff1@test.com, Staff opened 'Phản Hồi Được Giao' and could open the assigned feedback detail. The detail shows Status=ASSIGNED and 'Người xử lý: Test Staff'. Expected: Staff sees only feedback currently assigned to that Staff account. This confirms assigned-feedback visibility for the prepared test record. Note: assignment was created directly in SQL only to unblock Staff testing because the real Manager assignment flow MGR-03 is currently broken.</x:v>
      </x:c>
      <x:c r="I10" s="101"/>
    </x:row>
    <x:row r="11" ht="12.75" hidden="0">
      <x:c r="A11" s="280" t="str">
        <x:f aca="0"/>
        <x:v>STAFF-02</x:v>
      </x:c>
      <x:c r="B11" s="280" t="str">
        <x:v>Block Staff from opening another Staff member's assigned feedback</x:v>
      </x:c>
      <x:c r="C11" s="280" t="str">
        <x:v>1. Login as Staff A.
2. Try to open feedback assigned to Staff B.</x:v>
      </x:c>
      <x:c r="D11" s="283" t="str">
        <x:v>Access is denied through Staff-only functions.</x:v>
      </x:c>
      <x:c r="E11" s="283" t="str">
        <x:v>None</x:v>
      </x:c>
      <x:c r="F11" s="280" t="str">
        <x:v>Pass</x:v>
      </x:c>
      <x:c r="G11" s="300" t="n">
        <x:v>46224</x:v>
      </x:c>
      <x:c r="H11" s="333" t="str">
        <x:v>Role: Staff B (current implementation role = SupportStaff). Feedback '#25d46170' / title 'idk' is assigned to staff1@test.com. Logged in as a different Staff account (staff2@test.com) and attempted to open the feedback detail URL directly. The system correctly blocked access and showed: 'Support staff can only access assigned feedback.'. Expected: a Staff user cannot access feedback assigned to another Staff member through Staff-only functions. Result matches the requirement. UX/message suggestion for developer: change the message to 'You can only access feedback assigned to you.' because the current wording can be misunderstood as meaning any SupportStaff may access any feedback as long as it is assigned to someone.</x:v>
      </x:c>
      <x:c r="I11" s="101"/>
    </x:row>
    <x:row r="12" ht="12.75" hidden="0">
      <x:c r="A12" s="280" t="str">
        <x:f aca="0"/>
        <x:v>STAFF-03</x:v>
      </x:c>
      <x:c r="B12" s="280" t="str">
        <x:v>Search/filter assigned feedback</x:v>
      </x:c>
      <x:c r="C12" s="280" t="str">
        <x:v>1. Login as Staff.
2. Use supported search/filter controls.</x:v>
      </x:c>
      <x:c r="D12" s="283" t="str">
        <x:v>List is filtered correctly without showing unassigned feedback.</x:v>
      </x:c>
      <x:c r="E12" s="283" t="str">
        <x:v>None</x:v>
      </x:c>
      <x:c r="F12" s="280" t="str">
        <x:v>Pass</x:v>
      </x:c>
      <x:c r="G12" s="300" t="n">
        <x:v>46224</x:v>
      </x:c>
      <x:c r="H12" s="333" t="str">
        <x:v>Role: Staff (current implementation role = SupportStaff). Search/filter behavior was tested on the assigned feedback '#25d46170' / title 'idk'. 1) Searching 'idk' kept the matching feedback visible. 2) Searching 'zzzznotfound' returned no matching feedback. 3) Clearing the search restored the assigned feedback. 4) Filtering Status = Assigned kept the assigned feedback visible. All four checks matched the expected behavior.</x:v>
      </x:c>
      <x:c r="I12" s="101"/>
    </x:row>
    <x:row r="13" ht="15.75" hidden="0" customHeight="1">
      <x:c r="A13" s="309"/>
      <x:c r="B13" s="309" t="str">
        <x:v>Function E — Start / Respond / Resolve</x:v>
      </x:c>
      <x:c r="C13" s="310"/>
      <x:c r="D13" s="310"/>
      <x:c r="E13" s="310"/>
      <x:c r="F13" s="310"/>
      <x:c r="G13" s="311"/>
      <x:c r="H13" s="312"/>
      <x:c r="I13" s="96"/>
    </x:row>
    <x:row r="14" ht="12.75" hidden="0">
      <x:c r="A14" s="280" t="str">
        <x:f aca="0"/>
        <x:v>STAFF-04</x:v>
      </x:c>
      <x:c r="B14" s="280" t="str">
        <x:v>Start processing assigned feedback</x:v>
      </x:c>
      <x:c r="C14" s="280" t="str">
        <x:v>1. Open assigned feedback with status ASSIGNED.
2. Click Start Processing.</x:v>
      </x:c>
      <x:c r="D14" s="280" t="str">
        <x:v>Status changes ASSIGNED → IN_PROGRESS and status history is recorded.</x:v>
      </x:c>
      <x:c r="E14" s="280" t="str">
        <x:v>None</x:v>
      </x:c>
      <x:c r="F14" s="280" t="str">
        <x:v>Fail</x:v>
      </x:c>
      <x:c r="G14" s="300" t="n">
        <x:v>46224</x:v>
      </x:c>
      <x:c r="H14" s="333" t="str">
        <x:v>Role: Staff (current implementation role = SupportStaff). Precondition: feedback '#25d46170' / title 'idk' is assigned to staff1@test.com and status is ASSIGNED. Steps: Staff selected IN_PROGRESS / Đang xử lý under 'Cập nhật trạng thái' and clicked 'Cập nhật'. Current UI result: 'Lỗi: An unexpected error occurred.'; transition did not complete. CONFIRMED BACKEND ERROR: PATCH /api/Feedback/25d46170-523d-445b-af55-861e01cfa8a1/status returned HTTP 500. Exception = Microsoft.EntityFrameworkCore.DbUpdateConcurrencyException: EF expected 1 row to be affected but 0 rows were affected. Stack trace reaches UnitOfWork.SaveChangesAsync line 34 -&gt; FeedbackService.ChangeStatusAsync line 355 -&gt; FeedbackController.ChangeStatus line 78. The request URL contains the correct FeedbackId, so this failure is NOT the same missing-FeedbackId UI payload problem seen in MGR-03. Expected: ASSIGNED → IN_PROGRESS and a status-history entry is persisted. Developer fix direction: inspect EF concurrency configuration / row-version or concurrency-token handling for Feedback and the SQL UPDATE generated by ChangeStatusAsync. This is the same DbUpdateConcurrencyException pattern previously seen in Customer Cancel, suggesting a shared Feedback update/persistence issue rather than a Staff-only UI problem.</x:v>
      </x:c>
      <x:c r="I14" s="101"/>
    </x:row>
    <x:row r="15" ht="12.75" hidden="0">
      <x:c r="A15" s="280" t="str">
        <x:f aca="0"/>
        <x:v>STAFF-05</x:v>
      </x:c>
      <x:c r="B15" s="280" t="str">
        <x:v>Reject Start Processing by non-assigned Staff</x:v>
      </x:c>
      <x:c r="C15" s="280" t="str">
        <x:v>1. Login as Staff not assigned to the feedback.
2. Attempt Start Processing.</x:v>
      </x:c>
      <x:c r="D15" s="280" t="str">
        <x:v>Action is denied and status remains unchanged.</x:v>
      </x:c>
      <x:c r="E15" s="280" t="str">
        <x:v>None</x:v>
      </x:c>
      <x:c r="F15" s="280" t="str">
        <x:v>Pass</x:v>
      </x:c>
      <x:c r="G15" s="300" t="n">
        <x:v>46224</x:v>
      </x:c>
      <x:c r="H15" s="280" t="str">
        <x:v>Role: Staff B (current implementation role = SupportStaff). Feedback '#25d46170' / title 'idk' is assigned to staff1@test.com and status is ASSIGNED. Logged in as non-assigned Staff staff2@test.com and attempted to open the feedback directly. The system blocked access with: 'Support staff can only access assigned feedback.' Therefore Staff B cannot reach or perform Start Processing on feedback assigned to Staff A. Expected: Start Processing by a non-assigned Staff is denied. Result matches the requirement. UX wording suggestion: 'You can only access feedback assigned to you.'</x:v>
      </x:c>
      <x:c r="I15" s="105"/>
    </x:row>
    <x:row r="16" ht="12.75" hidden="0">
      <x:c r="A16" s="294" t="str">
        <x:v>STAFF-06</x:v>
      </x:c>
      <x:c r="B16" s="294" t="str">
        <x:v>Reject Start Processing from invalid status</x:v>
      </x:c>
      <x:c r="C16" s="294" t="str">
        <x:v>1. Use feedback not in ASSIGNED status.
2. Attempt Start Processing.</x:v>
      </x:c>
      <x:c r="D16" s="294" t="str">
        <x:v>Invalid transition is rejected.</x:v>
      </x:c>
      <x:c r="E16" s="294" t="str">
        <x:v>None</x:v>
      </x:c>
      <x:c r="F16" s="337" t="str">
        <x:v>Pass</x:v>
      </x:c>
      <x:c r="G16" s="301" t="n">
        <x:v>46224</x:v>
      </x:c>
      <x:c r="H16" s="294" t="str">
        <x:v>Role: Staff (current implementation role = SupportStaff). Test data was prepared directly in SQL with feedback '#25d46170' / title 'idk' set to IN_PROGRESS because STAFF-04 cannot perform the normal transition due to a backend concurrency error. Logged in as the assigned Staff and opened the status dropdown. Observed result: the dropdown only offered 'Resolved' (plus the placeholder); 'InProgress' / Start Processing was not available. Expected: Start Processing must not be available/allowed when the feedback is already IN_PROGRESS. Result matches the requirement through UI transition restriction.</x:v>
      </x:c>
      <x:c r="I16" s="96"/>
      <x:c r="J16" s="75"/>
      <x:c r="K16" s="75"/>
    </x:row>
    <x:row r="17" ht="12.75" hidden="0">
      <x:c r="A17" s="294" t="str">
        <x:v>STAFF-07</x:v>
      </x:c>
      <x:c r="B17" s="294" t="str">
        <x:v>Add a valid response to assigned feedback</x:v>
      </x:c>
      <x:c r="C17" s="294" t="str">
        <x:v>1. Open own assigned IN_PROGRESS feedback.
2. Enter valid response text.
3. Save.</x:v>
      </x:c>
      <x:c r="D17" s="294" t="str">
        <x:v>Response is stored with Staff author and timestamp.</x:v>
      </x:c>
      <x:c r="E17" s="294" t="str">
        <x:v>None</x:v>
      </x:c>
      <x:c r="F17" s="335" t="str">
        <x:v>Fail</x:v>
      </x:c>
      <x:c r="G17" s="301" t="n">
        <x:v>46224</x:v>
      </x:c>
      <x:c r="H17" s="294" t="str">
        <x:v>Role: Staff (current implementation role = SupportStaff). Precondition: feedback '#25d46170' / title 'idk' is assigned to staff1@test.com. Steps: Staff entered a valid public response: 'We are checking your feedback and will provide an update soon.', left the internal-note checkbox unchecked, and clicked 'Gửi'. Current result: response was not saved; UI showed: "Lỗi khi gửi phản hồi: 'Feedback Id' must not be empty." Expected: response is saved and displayed with Staff author, response content, and timestamp. Fix suggestion for developer: inspect the FE response-submit payload and backend DTO/model binding. The page URL already contains the feedback GUID, but the response command/request body is not supplying/binding FeedbackId. This is similar to the Manager assignment bug MGR-03, which also reports that Feedback Id is empty.</x:v>
      </x:c>
      <x:c r="I17" s="101"/>
    </x:row>
    <x:row r="18">
      <x:c r="A18" s="294" t="str">
        <x:v>STAFF-08</x:v>
      </x:c>
      <x:c r="B18" s="294" t="str">
        <x:v>Reject empty Staff response</x:v>
      </x:c>
      <x:c r="C18" s="294" t="str">
        <x:v>1. Open assigned feedback.
2. Submit an empty/whitespace response.</x:v>
      </x:c>
      <x:c r="D18" s="294" t="str">
        <x:v>Response is rejected with validation feedback.</x:v>
      </x:c>
      <x:c r="E18" s="294" t="str">
        <x:v>None</x:v>
      </x:c>
      <x:c r="F18" s="294" t="str">
        <x:v>Pass</x:v>
      </x:c>
      <x:c r="G18" s="301" t="n">
        <x:v>46224</x:v>
      </x:c>
      <x:c r="H18" s="294" t="str">
        <x:v>Role: Staff (current implementation role = SupportStaff). Steps: Staff left the response field completely empty. Observed result: the 'Gửi' (Send) button remained disabled/not active, so an empty response could not be submitted. Expected: empty or whitespace-only response is rejected/prevented. Result matches the requirement through client-side UI validation. Note: no server-side validation message was reached because the UI correctly prevented submission before sending the request.</x:v>
      </x:c>
    </x:row>
    <x:row r="19">
      <x:c r="A19" s="294" t="str">
        <x:v>STAFF-09</x:v>
      </x:c>
      <x:c r="B19" s="294" t="str">
        <x:v>Reject response from Staff who is not current assignee</x:v>
      </x:c>
      <x:c r="C19" s="294" t="str">
        <x:v>1. Login as non-assigned Staff.
2. Attempt to add response.</x:v>
      </x:c>
      <x:c r="D19" s="294" t="str">
        <x:v>Action is denied.</x:v>
      </x:c>
      <x:c r="E19" s="294" t="str">
        <x:v>None</x:v>
      </x:c>
      <x:c r="F19" s="294" t="str">
        <x:v>Pass</x:v>
      </x:c>
      <x:c r="G19" s="301" t="n">
        <x:v>46224</x:v>
      </x:c>
      <x:c r="H19" s="294" t="str">
        <x:v>Role: Staff B (current implementation role = SupportStaff). Feedback '#25d46170' / title 'idk' is assigned to staff1@test.com. Logged in as non-assigned Staff staff2@test.com and opened the feedback URL directly. The system blocked access with: 'Support staff can only access assigned feedback.' Because Staff B cannot access the feedback detail, Staff B cannot submit a response to it. Expected: response action by a non-assigned Staff is denied. Result matches the requirement. UX wording suggestion remains: 'You can only access feedback assigned to you.'</x:v>
      </x:c>
    </x:row>
    <x:row r="20">
      <x:c r="A20" s="294" t="str">
        <x:v>STAFF-10</x:v>
      </x:c>
      <x:c r="B20" s="294" t="str">
        <x:v>Resolve IN_PROGRESS feedback after at least one Staff response</x:v>
      </x:c>
      <x:c r="C20" s="294" t="str">
        <x:v>1. Ensure feedback is IN_PROGRESS and has a Staff response.
2. Click Resolve.</x:v>
      </x:c>
      <x:c r="D20" s="294" t="str">
        <x:v>Status changes IN_PROGRESS → RESOLVED and history is recorded.</x:v>
      </x:c>
      <x:c r="E20" s="294" t="str">
        <x:v>None</x:v>
      </x:c>
      <x:c r="F20" s="294" t="str">
        <x:v>Fail</x:v>
      </x:c>
      <x:c r="G20" s="301" t="n">
        <x:v>46224</x:v>
      </x:c>
      <x:c r="H20" s="294" t="str">
        <x:v>Role: Staff (current implementation role = SupportStaff). Precondition: feedback '#25d46170' / title 'idk' was prepared in IN_PROGRESS status, and one valid non-internal Staff response was inserted directly into feedback_responses because STAFF-07 cannot save responses through the UI. After refresh, the response was visibly displayed under Test Staff. Steps: Staff selected 'Resolved' and clicked 'Cập nhật'. Current result: UI showed 'Lỗi: An unexpected error occurred.' and the feedback did not complete the IN_PROGRESS → RESOLVED transition. Expected: status changes IN_PROGRESS → RESOLVED and status history is recorded. Developer fix suggestion: inspect the PATCH status endpoint / FeedbackService.ChangeStatusAsync for the resolve path. STAFF-04 previously produced a DbUpdateConcurrencyException on the same status endpoint, so check whether this resolve attempt is failing in the same persistence/concurrency path; backend-log confirmation is still needed for this specific attempt.</x:v>
      </x:c>
    </x:row>
    <x:row r="21">
      <x:c r="A21" s="294" t="str">
        <x:v>STAFF-11</x:v>
      </x:c>
      <x:c r="B21" s="294" t="str">
        <x:v>Reject Resolve when no Staff response exists</x:v>
      </x:c>
      <x:c r="C21" s="294" t="str">
        <x:v>1. Use IN_PROGRESS feedback without any Staff response.
2. Attempt Resolve.</x:v>
      </x:c>
      <x:c r="D21" s="294" t="str">
        <x:v>Resolve is rejected because at least one Staff response is required.</x:v>
      </x:c>
      <x:c r="E21" s="294" t="str">
        <x:v>None</x:v>
      </x:c>
      <x:c r="F21" s="294" t="str">
        <x:v>Fail</x:v>
      </x:c>
      <x:c r="G21" s="301" t="n">
        <x:v>46224</x:v>
      </x:c>
      <x:c r="H21" s="294" t="str">
        <x:v>Role: Staff (current implementation role = SupportStaff). Precondition: feedback '#25d46170' / title 'idk' was prepared in IN_PROGRESS status and has no successfully saved Staff response. Steps: Staff selected 'Resolved' in the status dropdown and clicked 'Cập nhật'. Current result: UI showed 'Lỗi: An unexpected error occurred.' instead of a clear business-rule rejection, and the resolve action did not complete. Expected: the system should reject resolving an IN_PROGRESS feedback that has no Staff response and show a clear validation/business-rule message. Developer fix suggestion: verify the resolve validation is executed before persistence and return a controlled 4xx validation/business-rule response. Because STAFF-04 on the same PATCH status endpoint already produced an EF DbUpdateConcurrencyException, also inspect whether this resolve attempt is reaching the same failing SaveChanges path before/without proper response-existence validation.</x:v>
      </x:c>
    </x:row>
  </x:sheetData>
  <x:mergeCells>
    <x:mergeCell ref="B2:F2"/>
    <x:mergeCell ref="B3:F3"/>
    <x:mergeCell ref="B4:F4"/>
    <x:mergeCell ref="E5:F5"/>
    <x:mergeCell ref="E6:F6"/>
  </x:mergeCells>
  <x:conditionalFormatting sqref="F9:F21">
    <x:cfRule type="expression" dxfId="9" priority="1">
      <x:formula>F9="Pass"</x:formula>
    </x:cfRule>
    <x:cfRule type="expression" dxfId="10" priority="2">
      <x:formula>F9="Fail"</x:formula>
    </x:cfRule>
    <x:cfRule type="expression" dxfId="11" priority="3">
      <x:formula>F9="Untested"</x:formula>
    </x:cfRule>
  </x:conditionalFormatting>
  <x:dataValidations count="1">
    <x:dataValidation type="list" errorStyle="stop" operator="between" allowBlank="1" showDropDown="0" showInputMessage="0" showErrorMessage="1" sqref="F1:F3 F7:F144">
      <x:formula1>$J$2:$J$6</x:formula1>
      <x:formula2>0</x:formula2>
    </x:dataValidation>
  </x:dataValidations>
  <x:pageMargins left="0.7" right="0.7" top="0.75" bottom="0.75" header="0.3" footer="0.3"/>
  <x:legacyDrawing xmlns:r="http://schemas.openxmlformats.org/officeDocument/2006/relationships" r:id="R4037c93de4314b66"/>
</x:worksheet>
</file>

<file path=xl/worksheets/sheet5.xml><?xml version="1.0" encoding="utf-8"?>
<x:worksheet xmlns:x="http://schemas.openxmlformats.org/spreadsheetml/2006/main">
  <x:sheetViews>
    <x:sheetView showGridLines="1" workbookViewId="0"/>
  </x:sheetViews>
  <x:sheetFormatPr defaultColWidth="8.9921875" defaultRowHeight="12.75"/>
  <x:cols>
    <x:col min="1" max="1" width="8.989999771118164" style="8" hidden="0" customWidth="0"/>
    <x:col min="2" max="2" width="22" style="8" hidden="0" customWidth="1"/>
    <x:col min="3" max="3" width="26" style="8" hidden="0" customWidth="1"/>
    <x:col min="4" max="7" width="8.989999771118164" style="8" hidden="0" customWidth="0"/>
    <x:col min="8" max="9" width="33.119998931884766" style="8" hidden="0" customWidth="1"/>
    <x:col min="10" max="257" width="8.989999771118164" style="8" hidden="0" customWidth="0"/>
    <x:col min="4" max="4" width="14" hidden="0" customWidth="1"/>
    <x:col min="5" max="5" width="14" hidden="0" customWidth="1"/>
    <x:col min="6" max="6" width="14" hidden="0" customWidth="1"/>
    <x:col min="7" max="7" width="14" hidden="0" customWidth="1"/>
    <x:col min="8" max="8" width="14" hidden="0" customWidth="1"/>
  </x:cols>
  <x:sheetData>
    <x:row r="1" ht="25.5" hidden="0" customHeight="1">
      <x:c r="B1" s="110" t="str">
        <x:v>TEST REPORT</x:v>
      </x:c>
      <x:c r="C1" s="110"/>
      <x:c r="D1" s="110"/>
      <x:c r="E1" s="110"/>
      <x:c r="F1" s="110"/>
      <x:c r="G1" s="110"/>
      <x:c r="H1" s="110"/>
    </x:row>
    <x:row r="2" ht="14.25" hidden="0" customHeight="1">
      <x:c r="A2" s="111"/>
      <x:c r="B2" s="111"/>
      <x:c r="C2" s="112"/>
      <x:c r="D2" s="112"/>
      <x:c r="E2" s="112"/>
      <x:c r="F2" s="112"/>
      <x:c r="G2" s="112"/>
      <x:c r="H2" s="113"/>
    </x:row>
    <x:row r="3" ht="12" hidden="0" customHeight="1">
      <x:c r="B3" s="393" t="str">
        <x:v>Project Name</x:v>
      </x:c>
      <x:c r="C3" s="394" t="str">
        <x:v>Customer Feedback System</x:v>
      </x:c>
      <x:c r="D3" s="394"/>
      <x:c r="E3" s="395" t="str">
        <x:v>Creator</x:v>
      </x:c>
      <x:c r="F3" s="395" t="str">
        <x:v>Tuan Như</x:v>
      </x:c>
      <x:c r="G3" s="396"/>
      <x:c r="H3" s="397"/>
    </x:row>
    <x:row r="4" ht="12" hidden="0" customHeight="1">
      <x:c r="B4" s="393" t="str">
        <x:v>Project Code</x:v>
      </x:c>
      <x:c r="C4" s="394" t="str">
        <x:v>CFMS-SWT301</x:v>
      </x:c>
      <x:c r="D4" s="394"/>
      <x:c r="E4" s="395" t="str">
        <x:v>Reviewer/Approver</x:v>
      </x:c>
      <x:c r="F4" s="395" t="str">
        <x:v>Lecturer / Reviewer</x:v>
      </x:c>
      <x:c r="G4" s="396"/>
      <x:c r="H4" s="397"/>
    </x:row>
    <x:row r="5" ht="12" hidden="0" customHeight="1">
      <x:c r="B5" s="398" t="str">
        <x:v>Document Code</x:v>
      </x:c>
      <x:c r="C5" s="394" t="str">
        <x:f aca="0"/>
        <x:v>CFMS_Lab1_BlackBox_TestCase_v1.0</x:v>
      </x:c>
      <x:c r="D5" s="394"/>
      <x:c r="E5" s="395" t="str">
        <x:v>Issue Date</x:v>
      </x:c>
      <x:c r="F5" s="399" t="n">
        <x:v>46224</x:v>
      </x:c>
      <x:c r="G5" s="396"/>
      <x:c r="H5" s="400"/>
    </x:row>
    <x:row r="6" ht="21.75" hidden="0" customHeight="1">
      <x:c r="A6" s="111"/>
      <x:c r="B6" s="398" t="str">
        <x:v>Notes</x:v>
      </x:c>
      <x:c r="C6" s="281" t="str">
        <x:v>Full-scope Lab 1 black-box test design for the restarted CFMS. IMPORTANT implementation mismatch confirmed on 21/07/2026: current BE/src/CFMS.Domain/Enums/UserRole.cs still defines Customer, SupportStaff, DepartmentManager, SystemAdmin, while the restarted requirements define Customer, Staff, Manager, Admin. For testing the current cloned implementation, temporary test accounts may need the legacy enum values so the current code can run; Expected Results in this workbook continue to follow the restarted requirements, not the legacy role model.</x:v>
      </x:c>
      <x:c r="D6" s="281"/>
      <x:c r="E6" s="281"/>
      <x:c r="F6" s="281"/>
      <x:c r="G6" s="281"/>
      <x:c r="H6" s="281"/>
    </x:row>
    <x:row r="7" ht="14.25" hidden="0" customHeight="1">
      <x:c r="A7" s="111"/>
      <x:c r="B7" s="401"/>
      <x:c r="C7" s="402"/>
      <x:c r="D7" s="403"/>
      <x:c r="E7" s="403"/>
      <x:c r="F7" s="403"/>
      <x:c r="G7" s="403"/>
      <x:c r="H7" s="404"/>
    </x:row>
    <x:row r="8" ht="12.75" hidden="0">
      <x:c r="B8" s="401"/>
      <x:c r="C8" s="402"/>
      <x:c r="D8" s="403"/>
      <x:c r="E8" s="403"/>
      <x:c r="F8" s="403"/>
      <x:c r="G8" s="403"/>
      <x:c r="H8" s="404"/>
    </x:row>
    <x:row r="9" ht="12.75" hidden="0">
      <x:c r="A9" s="121"/>
      <x:c r="B9" s="388" t="str">
        <x:v>No</x:v>
      </x:c>
      <x:c r="C9" s="388" t="str">
        <x:v>Module code</x:v>
      </x:c>
      <x:c r="D9" s="388" t="str">
        <x:v>Pass</x:v>
      </x:c>
      <x:c r="E9" s="388" t="str">
        <x:v>Fail</x:v>
      </x:c>
      <x:c r="F9" s="388" t="str">
        <x:v>Untested</x:v>
      </x:c>
      <x:c r="G9" s="388" t="str">
        <x:v>N/A</x:v>
      </x:c>
      <x:c r="H9" s="388" t="str">
        <x:v>Number of test cases</x:v>
      </x:c>
    </x:row>
    <x:row r="10" ht="12.75" hidden="0">
      <x:c r="A10" s="122"/>
      <x:c r="B10" s="405" t="n">
        <x:v>1</x:v>
      </x:c>
      <x:c r="C10" s="406" t="str">
        <x:v>AUTH-CUSTOMER</x:v>
      </x:c>
      <x:c r="D10" s="406" t="n">
        <x:f>'Module1'!A6</x:f>
        <x:v>20</x:v>
      </x:c>
      <x:c r="E10" s="406" t="n">
        <x:f>'Module1'!B6</x:f>
        <x:v>8</x:v>
      </x:c>
      <x:c r="F10" s="406" t="n">
        <x:f>'Module1'!C6</x:f>
        <x:v>0</x:v>
      </x:c>
      <x:c r="G10" s="407" t="n">
        <x:f>'Module1'!D6</x:f>
        <x:v>0</x:v>
      </x:c>
      <x:c r="H10" s="408" t="n">
        <x:f>'Module1'!E6</x:f>
        <x:v>28</x:v>
      </x:c>
    </x:row>
    <x:row r="11" ht="12.75" hidden="0">
      <x:c r="A11" s="128"/>
      <x:c r="B11" s="409" t="n">
        <x:v>2</x:v>
      </x:c>
      <x:c r="C11" s="410" t="str">
        <x:f aca="0"/>
        <x:v>STAFF</x:v>
      </x:c>
      <x:c r="D11" s="411" t="n">
        <x:f aca="0">'Module2'!A6</x:f>
        <x:v>7</x:v>
      </x:c>
      <x:c r="E11" s="411" t="n">
        <x:f aca="0">'Module2'!B6</x:f>
        <x:v>4</x:v>
      </x:c>
      <x:c r="F11" s="411" t="n">
        <x:f aca="0">'Module2'!C6</x:f>
        <x:v>0</x:v>
      </x:c>
      <x:c r="G11" s="412" t="n">
        <x:f aca="0">'Module2'!D6</x:f>
        <x:v>0</x:v>
      </x:c>
      <x:c r="H11" s="413" t="n">
        <x:f aca="0">'Module2'!E6</x:f>
        <x:v>11</x:v>
      </x:c>
    </x:row>
    <x:row r="12" ht="12.75" hidden="0">
      <x:c r="A12" s="128"/>
      <x:c r="B12" s="409" t="n">
        <x:v>3</x:v>
      </x:c>
      <x:c r="C12" s="410" t="str">
        <x:f aca="0"/>
        <x:v>MANAGER</x:v>
      </x:c>
      <x:c r="D12" s="411" t="n">
        <x:f aca="0">'Module3'!A6</x:f>
        <x:v>4</x:v>
      </x:c>
      <x:c r="E12" s="411" t="n">
        <x:f aca="0">'Module3'!B6</x:f>
        <x:v>8</x:v>
      </x:c>
      <x:c r="F12" s="411" t="n">
        <x:f aca="0">'Module3'!C6</x:f>
        <x:v>0</x:v>
      </x:c>
      <x:c r="G12" s="412" t="n">
        <x:f aca="0">'Module3'!D6</x:f>
        <x:v>0</x:v>
      </x:c>
      <x:c r="H12" s="413" t="n">
        <x:f aca="0">'Module3'!E6</x:f>
        <x:v>12</x:v>
      </x:c>
    </x:row>
    <x:row r="13" ht="12.75" hidden="0">
      <x:c r="A13" s="128"/>
      <x:c r="B13" s="409" t="n">
        <x:v>4</x:v>
      </x:c>
      <x:c r="C13" s="410" t="str">
        <x:v>ADMIN</x:v>
      </x:c>
      <x:c r="D13" s="411" t="n">
        <x:f>'Module4'!A6</x:f>
        <x:v>9</x:v>
      </x:c>
      <x:c r="E13" s="411" t="n">
        <x:f>'Module4'!B6</x:f>
        <x:v>3</x:v>
      </x:c>
      <x:c r="F13" s="411" t="n">
        <x:f>'Module4'!C6</x:f>
        <x:v>0</x:v>
      </x:c>
      <x:c r="G13" s="412" t="n">
        <x:f>'Module4'!D6</x:f>
        <x:v>0</x:v>
      </x:c>
      <x:c r="H13" s="413" t="n">
        <x:f>'Module4'!E6</x:f>
        <x:v>12</x:v>
      </x:c>
    </x:row>
    <x:row r="14" ht="12.75" hidden="0">
      <x:c r="A14" s="128"/>
      <x:c r="B14" s="414" t="n">
        <x:v>5</x:v>
      </x:c>
      <x:c r="C14" s="415" t="str">
        <x:v>GUI-SCOPE-DATE</x:v>
      </x:c>
      <x:c r="D14" s="416" t="n">
        <x:f aca="0">'Module5'!A6</x:f>
        <x:v>7</x:v>
      </x:c>
      <x:c r="E14" s="416" t="n">
        <x:f aca="0">'Module5'!B6</x:f>
        <x:v>5</x:v>
      </x:c>
      <x:c r="F14" s="416" t="n">
        <x:f aca="0">'Module5'!C6</x:f>
        <x:v>0</x:v>
      </x:c>
      <x:c r="G14" s="416" t="n">
        <x:f aca="0">'Module5'!D6</x:f>
        <x:v>0</x:v>
      </x:c>
      <x:c r="H14" s="417" t="n">
        <x:f aca="0">'Module5'!E6</x:f>
        <x:v>12</x:v>
      </x:c>
    </x:row>
    <x:row r="15" ht="12.75" hidden="0">
      <x:c r="A15" s="121"/>
      <x:c r="B15" s="418"/>
      <x:c r="C15" s="403"/>
      <x:c r="D15" s="419"/>
      <x:c r="E15" s="420"/>
      <x:c r="F15" s="420"/>
      <x:c r="G15" s="420"/>
      <x:c r="H15" s="420"/>
    </x:row>
    <x:row r="16" ht="12.75" hidden="0">
      <x:c r="A16" s="121"/>
      <x:c r="B16" s="403"/>
      <x:c r="C16" s="421"/>
      <x:c r="D16" s="403"/>
      <x:c r="E16" s="422">
        <x:f aca="0"/>
      </x:c>
      <x:c r="F16" s="403"/>
      <x:c r="G16" s="403"/>
      <x:c r="H16" s="423"/>
    </x:row>
    <x:row r="17" ht="12.75" hidden="0">
      <x:c r="A17" s="121"/>
      <x:c r="B17" s="403"/>
      <x:c r="C17" s="421" t="str">
        <x:v>Sub total</x:v>
      </x:c>
      <x:c r="D17" s="403" t="n">
        <x:f>SUM(D10:D14)</x:f>
        <x:v>47</x:v>
      </x:c>
      <x:c r="E17" s="422" t="n">
        <x:f aca="0">SUM(E10:E14)</x:f>
        <x:v>28</x:v>
      </x:c>
      <x:c r="F17" s="403" t="n">
        <x:f>SUM(F10:F14)</x:f>
        <x:v>0</x:v>
      </x:c>
      <x:c r="G17" s="403" t="n">
        <x:f>SUM(G10:G14)</x:f>
        <x:v>0</x:v>
      </x:c>
      <x:c r="H17" s="423" t="n">
        <x:f>SUM(H10:H14)</x:f>
        <x:v>75</x:v>
      </x:c>
    </x:row>
    <x:row r="18" ht="12.75" hidden="0">
      <x:c r="B18" s="285"/>
      <x:c r="C18" s="403"/>
      <x:c r="D18" s="403"/>
      <x:c r="E18" s="285"/>
      <x:c r="F18" s="285"/>
      <x:c r="G18" s="285"/>
      <x:c r="H18" s="285"/>
    </x:row>
    <x:row r="19">
      <x:c r="B19" s="285"/>
      <x:c r="C19" s="285" t="str">
        <x:v>Test coverage</x:v>
      </x:c>
      <x:c r="D19" s="285"/>
      <x:c r="E19" s="424" t="n">
        <x:f>IF(H17=0,0,(D17+E17)/H17*100)</x:f>
        <x:v>100</x:v>
      </x:c>
      <x:c r="F19" s="285" t="str">
        <x:v>%</x:v>
      </x:c>
      <x:c r="G19" s="285"/>
      <x:c r="H19" s="285"/>
    </x:row>
    <x:row r="20">
      <x:c r="B20" s="285"/>
      <x:c r="C20" s="285" t="str">
        <x:v>Test successful coverage</x:v>
      </x:c>
      <x:c r="D20" s="285"/>
      <x:c r="E20" s="424" t="n">
        <x:f>IF((D17+E17)=0,0,D17/(D17+E17)*100)</x:f>
        <x:v>62.66666666666667</x:v>
      </x:c>
      <x:c r="F20" s="285" t="str">
        <x:v>%</x:v>
      </x:c>
      <x:c r="G20" s="285"/>
      <x:c r="H20" s="285"/>
    </x:row>
    <x:row r="21">
      <x:c r="B21" s="285"/>
      <x:c r="C21" s="285"/>
      <x:c r="D21" s="285"/>
      <x:c r="E21" s="285"/>
      <x:c r="F21" s="285"/>
      <x:c r="G21" s="285"/>
      <x:c r="H21" s="285"/>
    </x:row>
    <x:row r="22">
      <x:c r="B22" s="285"/>
      <x:c r="C22" s="285"/>
      <x:c r="D22" s="285"/>
      <x:c r="E22" s="285"/>
      <x:c r="F22" s="285"/>
      <x:c r="G22" s="285"/>
      <x:c r="H22" s="285"/>
    </x:row>
    <x:row r="23">
      <x:c r="B23" s="285"/>
      <x:c r="C23" s="285"/>
      <x:c r="D23" s="285"/>
      <x:c r="E23" s="285"/>
      <x:c r="F23" s="285"/>
      <x:c r="G23" s="285"/>
      <x:c r="H23" s="285"/>
    </x:row>
    <x:row r="24">
      <x:c r="B24" s="285"/>
      <x:c r="C24" s="285"/>
      <x:c r="D24" s="285"/>
      <x:c r="E24" s="285"/>
      <x:c r="F24" s="285"/>
      <x:c r="G24" s="285"/>
      <x:c r="H24" s="285"/>
    </x:row>
    <x:row r="25">
      <x:c r="B25" s="285"/>
      <x:c r="C25" s="285"/>
      <x:c r="D25" s="285"/>
      <x:c r="E25" s="285"/>
      <x:c r="F25" s="285"/>
      <x:c r="G25" s="285"/>
      <x:c r="H25" s="285"/>
    </x:row>
    <x:row r="26">
      <x:c r="B26" s="285"/>
      <x:c r="C26" s="285"/>
      <x:c r="D26" s="285"/>
      <x:c r="E26" s="285"/>
      <x:c r="F26" s="285"/>
      <x:c r="G26" s="285"/>
      <x:c r="H26" s="285"/>
    </x:row>
    <x:row r="27">
      <x:c r="B27" s="285"/>
      <x:c r="C27" s="285"/>
      <x:c r="D27" s="285"/>
      <x:c r="E27" s="285"/>
      <x:c r="F27" s="285"/>
      <x:c r="G27" s="285"/>
      <x:c r="H27" s="285"/>
    </x:row>
    <x:row r="28">
      <x:c r="B28" s="285"/>
      <x:c r="C28" s="285"/>
      <x:c r="D28" s="285"/>
      <x:c r="E28" s="285"/>
      <x:c r="F28" s="285"/>
      <x:c r="G28" s="285"/>
      <x:c r="H28" s="285"/>
    </x:row>
    <x:row r="29">
      <x:c r="B29" s="285"/>
      <x:c r="C29" s="285"/>
      <x:c r="D29" s="285"/>
      <x:c r="E29" s="285"/>
      <x:c r="F29" s="285"/>
      <x:c r="G29" s="285"/>
      <x:c r="H29" s="285"/>
    </x:row>
    <x:row r="30">
      <x:c r="B30" s="285"/>
      <x:c r="C30" s="285"/>
      <x:c r="D30" s="285"/>
      <x:c r="E30" s="285"/>
      <x:c r="F30" s="285"/>
      <x:c r="G30" s="285"/>
      <x:c r="H30" s="285"/>
    </x:row>
  </x:sheetData>
  <x:mergeCells>
    <x:mergeCell ref="B1:H1"/>
    <x:mergeCell ref="C3:D3"/>
    <x:mergeCell ref="E3:F3"/>
    <x:mergeCell ref="C4:D4"/>
    <x:mergeCell ref="E4:F4"/>
    <x:mergeCell ref="C5:D5"/>
    <x:mergeCell ref="E5:F5"/>
    <x:mergeCell ref="C6:H6"/>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32" hidden="0" customWidth="1"/>
    <x:col min="3" max="3" width="42" hidden="0" customWidth="1"/>
    <x:col min="4" max="4" width="44" hidden="0" customWidth="1"/>
    <x:col min="5" max="5" width="30" hidden="0" customWidth="1"/>
    <x:col min="6" max="6" width="12" hidden="0" customWidth="1"/>
    <x:col min="7" max="7" width="14" hidden="0" customWidth="1"/>
    <x:col min="8" max="8" width="48" hidden="0" customWidth="1"/>
  </x:cols>
  <x:sheetData>
    <x:row r="2">
      <x:c r="A2" s="349" t="str">
        <x:v>Module Code</x:v>
      </x:c>
      <x:c r="B2" t="str">
        <x:v>MANAGER</x:v>
      </x:c>
      <x:c r="C2"/>
      <x:c r="D2"/>
      <x:c r="E2"/>
    </x:row>
    <x:row r="3">
      <x:c r="A3" s="349" t="str">
        <x:v>Test requirement</x:v>
      </x:c>
      <x:c r="B3" t="str">
        <x:v>Manager review, assignment, reassignment, closure and dashboard tests.</x:v>
      </x:c>
      <x:c r="C3"/>
      <x:c r="D3"/>
      <x:c r="E3"/>
    </x:row>
    <x:row r="4">
      <x:c r="A4" s="349" t="str">
        <x:v>Tester</x:v>
      </x:c>
      <x:c r="B4" t="str">
        <x:v>Tuan Như</x:v>
      </x:c>
      <x:c r="C4"/>
      <x:c r="D4"/>
      <x:c r="E4"/>
    </x:row>
    <x:row r="5">
      <x:c r="A5" s="352" t="str">
        <x:v>Pass</x:v>
      </x:c>
      <x:c r="B5" s="352" t="str">
        <x:v>Fail</x:v>
      </x:c>
      <x:c r="C5" s="352" t="str">
        <x:v>Untested</x:v>
      </x:c>
      <x:c r="D5" s="352" t="str">
        <x:v>N/A</x:v>
      </x:c>
      <x:c r="E5" s="352" t="str">
        <x:v>Number of Test cases</x:v>
      </x:c>
    </x:row>
    <x:row r="6">
      <x:c r="A6" t="n">
        <x:f>COUNTIF(F9:F22,"Pass")</x:f>
        <x:v>4</x:v>
      </x:c>
      <x:c r="B6" t="n">
        <x:f>COUNTIF(F9:F22,"Fail")</x:f>
        <x:v>8</x:v>
      </x:c>
      <x:c r="C6" t="n">
        <x:f>COUNTIF(F9:F22,"Untested")</x:f>
        <x:v>0</x:v>
      </x:c>
      <x:c r="D6" t="n">
        <x:v>0</x:v>
      </x:c>
      <x:c r="E6" t="n">
        <x:f>A6+B6+C6+D6</x:f>
        <x:v>12</x:v>
      </x:c>
    </x:row>
    <x:row r="8">
      <x:c r="A8" s="343" t="str">
        <x:v>ID</x:v>
      </x:c>
      <x:c r="B8" s="343" t="str">
        <x:v>Test Case Description</x:v>
      </x:c>
      <x:c r="C8" s="343" t="str">
        <x:v>Test Case Procedure</x:v>
      </x:c>
      <x:c r="D8" s="343" t="str">
        <x:v>Expected Output</x:v>
      </x:c>
      <x:c r="E8" s="343" t="str">
        <x:v>Inter-test case Dependence</x:v>
      </x:c>
      <x:c r="F8" s="343" t="str">
        <x:v>Result</x:v>
      </x:c>
      <x:c r="G8" s="343" t="str">
        <x:v>Test date</x:v>
      </x:c>
      <x:c r="H8" s="343" t="str">
        <x:v>Note</x:v>
      </x:c>
    </x:row>
    <x:row r="9">
      <x:c r="A9" s="325"/>
      <x:c r="B9" s="325" t="str">
        <x:v>Function F — Manager View / Assign / Reassign</x:v>
      </x:c>
      <x:c r="C9" s="325"/>
      <x:c r="D9" s="325"/>
      <x:c r="E9" s="325"/>
      <x:c r="F9" s="325"/>
      <x:c r="G9" s="326"/>
      <x:c r="H9" s="325"/>
    </x:row>
    <x:row r="10">
      <x:c r="A10" s="294" t="str">
        <x:v>MGR-01</x:v>
      </x:c>
      <x:c r="B10" s="294" t="str">
        <x:v>View all operational feedback</x:v>
      </x:c>
      <x:c r="C10" s="294" t="str">
        <x:v>1. Login as Manager.
2. Open operational feedback list.</x:v>
      </x:c>
      <x:c r="D10" s="294" t="str">
        <x:v>Manager can view feedback across the operational workflow.</x:v>
      </x:c>
      <x:c r="E10" s="294" t="str">
        <x:v>None</x:v>
      </x:c>
      <x:c r="F10" s="294" t="str">
        <x:v>Fail</x:v>
      </x:c>
      <x:c r="G10" s="301" t="n">
        <x:v>46224</x:v>
      </x:c>
      <x:c r="H10" s="294" t="str">
        <x:v>Role: Manager (current implementation role = DepartmentManager). Login succeeded, but the test FAILS against the restarted V1 requirements. Initial current behavior: after login, the app reused the previous Customer feedback-detail URL instead of opening the Manager dashboard/home and showed 'Department Managers can only access feedback in their department.'. On /assigned-feedbacks the Manager initially saw 0 feedback even though multiple SUBMITTED feedback records existed. Database check confirmed all existing feedback rows had DepartmentId = NULL while this Manager had DepartmentId = 11111111-1111-1111-1111-111111111111. Test-data confirmation: after manually setting ONE feedback's DepartmentId to the Manager's department, that single feedback immediately appeared in 'Quản Lý Phản Hồi'. This confirms the current implementation is still filtering Managers by legacy DepartmentId. Expected for restarted V1: Manager can view all operational feedback without department hierarchy. Fix suggestion for developer: remove/replace department-based Manager filtering for V1 and clear stale protected return URLs on logout/login.</x:v>
      </x:c>
    </x:row>
    <x:row r="11">
      <x:c r="A11" s="294" t="str">
        <x:v>MGR-02</x:v>
      </x:c>
      <x:c r="B11" s="294" t="str">
        <x:v>Search/filter operational feedback</x:v>
      </x:c>
      <x:c r="C11" s="294" t="str">
        <x:v>1. Use Manager search/filter controls by status/category/assignee when available.</x:v>
      </x:c>
      <x:c r="D11" s="294" t="str">
        <x:v>Results match the selected filter criteria.</x:v>
      </x:c>
      <x:c r="E11" s="294" t="str">
        <x:v>None</x:v>
      </x:c>
      <x:c r="F11" s="294" t="str">
        <x:v>Pass</x:v>
      </x:c>
      <x:c r="G11" s="301" t="n">
        <x:v>46224</x:v>
      </x:c>
      <x:c r="H11" s="294" t="str">
        <x:v>Role: Manager (current implementation role = DepartmentManager). Search/filter behavior was executed on the visible test feedback. 1) Searching 'idk' kept the matching feedback visible. 2) Searching 'zzzznotfound' returned no matching feedback. 3) Clearing the search restored the feedback list. 4) Filtering Status = SUBMITTED kept the SUBMITTED feedback visible. All four checks matched the expected filtering behavior for the currently visible dataset.</x:v>
      </x:c>
    </x:row>
    <x:row r="12">
      <x:c r="A12" s="294" t="str">
        <x:v>MGR-03</x:v>
      </x:c>
      <x:c r="B12" s="294" t="str">
        <x:v>Assign SUBMITTED feedback to active Staff</x:v>
      </x:c>
      <x:c r="C12" s="294" t="str">
        <x:v>1. Open SUBMITTED feedback.
2. Select an active Staff member.
3. Assign.</x:v>
      </x:c>
      <x:c r="D12" s="294" t="str">
        <x:v>Assignee is saved and status changes SUBMITTED → ASSIGNED.</x:v>
      </x:c>
      <x:c r="E12" s="294" t="str">
        <x:v>None</x:v>
      </x:c>
      <x:c r="F12" s="294" t="str">
        <x:v>Fail</x:v>
      </x:c>
      <x:c r="G12" s="301" t="n">
        <x:v>46224</x:v>
      </x:c>
      <x:c r="H12" s="294" t="str">
        <x:v>Role: Manager (current implementation role = DepartmentManager). Precondition: visible feedback '#25d46170' / title 'idk' is SUBMITTED and active Staff 'Test Staff (staff1@test.com)' is available. Steps: Manager opened 'Giao việc', selected Test Staff, then clicked 'Xác nhận'. Current result: assignment failed and the UI showed: "Lỗi: 'Feedback Id' must not be empty." The feedback remained SUBMITTED and 'Chưa giao'. Expected: selected feedback ID must be sent to the assignment request, assignee must become staff1@test.com, and status must change SUBMITTED → ASSIGNED. Fix suggestion for developer: check the FE assignment handler/request payload and make sure the selected feedback's Id is passed to the API (not null/empty); also verify the backend assignment command/DTO binding expects the same field/property name.</x:v>
      </x:c>
    </x:row>
    <x:row r="13">
      <x:c r="A13" s="294" t="str">
        <x:v>MGR-04</x:v>
      </x:c>
      <x:c r="B13" s="294" t="str">
        <x:v>Reject assignment to inactive Staff</x:v>
      </x:c>
      <x:c r="C13" s="294" t="str">
        <x:v>1. Open SUBMITTED feedback.
2. Select inactive Staff.
3. Assign.</x:v>
      </x:c>
      <x:c r="D13" s="294" t="str">
        <x:v>Assignment is rejected.</x:v>
      </x:c>
      <x:c r="E13" s="294" t="str">
        <x:v>None</x:v>
      </x:c>
      <x:c r="F13" s="294" t="str">
        <x:v>Fail</x:v>
      </x:c>
      <x:c r="G13" s="301" t="n">
        <x:v>46224</x:v>
      </x:c>
      <x:c r="H13" s="294" t="str">
        <x:v>Role: Manager (current implementation role = DepartmentManager). Test setup: staff2@test.com was successfully changed to Status='Disabled' using the valid CK_users_Status_Valid value. After refreshing the Manager feedback detail page and opening the Staff dropdown, 'Test Staff 2 (staff2@test.com)' still appeared as a selectable option. Expected: inactive/disabled Staff must not be available for assignment/reassignment. Current result: disabled Staff remains selectable. Fix suggestion for developer: filter assignment/reassignment candidates to active Staff only (Status='Active') in the backend query and/or frontend list.</x:v>
      </x:c>
    </x:row>
    <x:row r="14">
      <x:c r="A14" s="294" t="str">
        <x:v>MGR-05</x:v>
      </x:c>
      <x:c r="B14" s="294" t="str">
        <x:v>Reject assignment to non-Staff account</x:v>
      </x:c>
      <x:c r="C14" s="294" t="str">
        <x:v>1. Attempt to assign feedback to Customer/Manager/Admin.</x:v>
      </x:c>
      <x:c r="D14" s="294" t="str">
        <x:v>Assignment is rejected because assignee must be active STAFF.</x:v>
      </x:c>
      <x:c r="E14" s="294" t="str">
        <x:v>None</x:v>
      </x:c>
      <x:c r="F14" s="294" t="str">
        <x:v>Pass</x:v>
      </x:c>
      <x:c r="G14" s="301" t="n">
        <x:v>46224</x:v>
      </x:c>
      <x:c r="H14" s="294" t="str">
        <x:v>Role: Manager (current implementation role = DepartmentManager). Opened the reassignment/assignment Staff dropdown on feedback '#25d46170'. Observed options contained only SupportStaff accounts: Test Staff (staff1@test.com) and Test Staff 2 (staff2@test.com). Customer, Manager, and Admin accounts were not available for selection. Expected: assignment target must be a Staff account; non-Staff accounts are not selectable. Result matches the requirement.</x:v>
      </x:c>
    </x:row>
    <x:row r="15">
      <x:c r="A15" s="294" t="str">
        <x:v>MGR-06</x:v>
      </x:c>
      <x:c r="B15" s="294" t="str">
        <x:v>Reject assignment from an invalid feedback status</x:v>
      </x:c>
      <x:c r="C15" s="294" t="str">
        <x:v>1. Use feedback not eligible for initial assignment.
2. Attempt Assign.</x:v>
      </x:c>
      <x:c r="D15" s="294" t="str">
        <x:v>Assignment is rejected and status remains unchanged.</x:v>
      </x:c>
      <x:c r="E15" s="294" t="str">
        <x:v>None</x:v>
      </x:c>
      <x:c r="F15" s="294" t="str">
        <x:v>Pass</x:v>
      </x:c>
      <x:c r="G15" s="301" t="n">
        <x:v>46224</x:v>
      </x:c>
      <x:c r="H15" s="294" t="str">
        <x:v>Role: Manager (current implementation role = DepartmentManager). Precondition: feedback '#25d46170' / title 'idk' is IN_PROGRESS. Observed result on the Manager detail page: the initial assignment action is not available; only reassignment ('Chuyển giao') / unassignment controls are shown. Expected: initial assignment from an invalid/non-SUBMITTED status is not allowed. Result matches the requirement through UI action restriction.</x:v>
      </x:c>
    </x:row>
    <x:row r="16">
      <x:c r="A16" s="294" t="str">
        <x:v>MGR-07</x:v>
      </x:c>
      <x:c r="B16" s="294" t="str">
        <x:v>Reassign ASSIGNED feedback to another active Staff</x:v>
      </x:c>
      <x:c r="C16" s="294" t="str">
        <x:v>1. Open ASSIGNED feedback.
2. Choose another active Staff.
3. Reassign.</x:v>
      </x:c>
      <x:c r="D16" s="294" t="str">
        <x:v>Current assignee changes to the new Staff and status remains ASSIGNED.</x:v>
      </x:c>
      <x:c r="E16" s="294" t="str">
        <x:v>None</x:v>
      </x:c>
      <x:c r="F16" s="294" t="str">
        <x:v>Fail</x:v>
      </x:c>
      <x:c r="G16" s="301" t="n">
        <x:v>46224</x:v>
      </x:c>
      <x:c r="H16" s="294" t="str">
        <x:v>Role: Manager (current implementation role = DepartmentManager). Precondition: feedback '#25d46170' / title 'idk' was prepared in ASSIGNED status and staff2@test.com was restored to Active. Manager attempted to reassign the feedback to another active Staff. Current result: reassignment failed with "Lỗi: 'Feedback Id' must not be empty." Expected: assignee changes to the new active Staff while status remains ASSIGNED. Fix suggestion: same missing/misbound FeedbackId payload issue seen in MGR-03 and MGR-08; ensure the feedback Id is included in the reassignment request and matches the backend DTO property.</x:v>
      </x:c>
    </x:row>
    <x:row r="17">
      <x:c r="A17" s="294" t="str">
        <x:v>MGR-08</x:v>
      </x:c>
      <x:c r="B17" s="294" t="str">
        <x:v>Reassign IN_PROGRESS feedback and reset status</x:v>
      </x:c>
      <x:c r="C17" s="294" t="str">
        <x:v>1. Open IN_PROGRESS feedback.
2. Reassign to another active Staff.</x:v>
      </x:c>
      <x:c r="D17" s="294" t="str">
        <x:v>Assignee changes and status resets IN_PROGRESS → ASSIGNED.</x:v>
      </x:c>
      <x:c r="E17" s="294" t="str">
        <x:v>None</x:v>
      </x:c>
      <x:c r="F17" s="294" t="str">
        <x:v>Fail</x:v>
      </x:c>
      <x:c r="G17" s="301" t="n">
        <x:v>46224</x:v>
      </x:c>
      <x:c r="H17" s="294" t="str">
        <x:v>Role: Manager (current implementation role = DepartmentManager). Precondition: feedback '#25d46170' / title 'idk' is IN_PROGRESS and assigned to Test Staff. Steps: Manager selected Test Staff 2 in the 'Chuyển giao' section and attempted reassignment. Current result: reassignment failed with: "Lỗi: 'Feedback Id' must not be empty." Assignee/status were not changed. Expected: assignee changes from Test Staff to Test Staff 2 and status resets IN_PROGRESS → ASSIGNED. Fix suggestion for developer: same payload/model-binding issue as MGR-03. Ensure the selected feedback Id is included in the reassignment request and matches the backend DTO/property name.</x:v>
      </x:c>
    </x:row>
    <x:row r="18">
      <x:c r="A18" s="294" t="str">
        <x:v>MGR-09</x:v>
      </x:c>
      <x:c r="B18" s="294" t="str">
        <x:v>Reject reassignment of terminal feedback</x:v>
      </x:c>
      <x:c r="C18" s="294" t="str">
        <x:v>1. Use CLOSED or CANCELLED feedback.
2. Attempt Reassign.</x:v>
      </x:c>
      <x:c r="D18" s="294" t="str">
        <x:v>Reassignment is rejected because terminal feedback is read-only.</x:v>
      </x:c>
      <x:c r="E18" s="294" t="str">
        <x:v>None</x:v>
      </x:c>
      <x:c r="F18" s="294" t="str">
        <x:v>Fail</x:v>
      </x:c>
      <x:c r="G18" s="301" t="n">
        <x:v>46224</x:v>
      </x:c>
      <x:c r="H18" s="294" t="str">
        <x:v>Role: Manager (current implementation role = DepartmentManager). Precondition: feedback '#25d46170' / title 'idk' was prepared in terminal status CANCELLED. Observed result: the 'Chuyển giao' reassignment controls were still visible/available. Expected: terminal feedback (CLOSED or CANCELLED) is read-only and reassignment must not be available. Fix suggestion: hide/disable reassignment controls for terminal statuses and enforce the same rule in the backend.</x:v>
      </x:c>
    </x:row>
    <x:row r="19">
      <x:c r="A19" s="325"/>
      <x:c r="B19" s="325" t="str">
        <x:v>Function G — Manager Close / Dashboard</x:v>
      </x:c>
      <x:c r="C19" s="325"/>
      <x:c r="D19" s="325"/>
      <x:c r="E19" s="325"/>
      <x:c r="F19" s="325"/>
      <x:c r="G19" s="326"/>
      <x:c r="H19" s="325"/>
    </x:row>
    <x:row r="20">
      <x:c r="A20" s="294" t="str">
        <x:v>MGR-10</x:v>
      </x:c>
      <x:c r="B20" s="294" t="str">
        <x:v>Close RESOLVED feedback</x:v>
      </x:c>
      <x:c r="C20" s="294" t="str">
        <x:v>1. Open feedback with status RESOLVED.
2. Click Close.</x:v>
      </x:c>
      <x:c r="D20" s="294" t="str">
        <x:v>Status changes RESOLVED → CLOSED and history is recorded.</x:v>
      </x:c>
      <x:c r="E20" s="294" t="str">
        <x:v>None</x:v>
      </x:c>
      <x:c r="F20" s="294" t="str">
        <x:v>Fail</x:v>
      </x:c>
      <x:c r="G20" s="301" t="n">
        <x:v>46224</x:v>
      </x:c>
      <x:c r="H20" s="294" t="str">
        <x:v>Role: Manager (current implementation role = DepartmentManager). Precondition: feedback '#25d46170' / title 'idk' was prepared in RESOLVED status. Manager selected 'Closed', entered the required reason 'Feedback issue has been fully resolved.', and clicked 'Cập nhật'. Current result: UI showed 'Lỗi: An unexpected error occurred.' and the feedback did not complete RESOLVED → CLOSED. Expected: status changes RESOLVED → CLOSED and a status-history entry is recorded. Fix suggestion for developer: inspect the PATCH status endpoint / FeedbackService.ChangeStatusAsync for the close path. The same endpoint already fails with DbUpdateConcurrencyException for other status transitions, so verify EF concurrency/update persistence and ensure the required close reason is passed and saved correctly.</x:v>
      </x:c>
    </x:row>
    <x:row r="21">
      <x:c r="A21" s="294" t="str">
        <x:v>MGR-11</x:v>
      </x:c>
      <x:c r="B21" s="294" t="str">
        <x:v>Reject Close from non-RESOLVED status</x:v>
      </x:c>
      <x:c r="C21" s="294" t="str">
        <x:v>1. Use feedback in SUBMITTED/ASSIGNED/IN_PROGRESS/CANCELLED.
2. Attempt Close.</x:v>
      </x:c>
      <x:c r="D21" s="294" t="str">
        <x:v>Close is rejected.</x:v>
      </x:c>
      <x:c r="E21" s="294" t="str">
        <x:v>None</x:v>
      </x:c>
      <x:c r="F21" s="294" t="str">
        <x:v>Pass</x:v>
      </x:c>
      <x:c r="G21" s="301" t="n">
        <x:v>46224</x:v>
      </x:c>
      <x:c r="H21" s="294" t="str">
        <x:v>Role: Manager (current implementation role = DepartmentManager). Precondition: feedback '#25d46170' / title 'idk' is IN_PROGRESS. Manager opened the 'Cập nhật trạng thái' dropdown. Observed result: only 'Resolved' was available; 'Closed' was not offered. Expected: Manager cannot close feedback from a non-RESOLVED status. Result matches the requirement through UI transition restriction.</x:v>
      </x:c>
    </x:row>
    <x:row r="22">
      <x:c r="A22" s="294" t="str">
        <x:v>MGR-12</x:v>
      </x:c>
      <x:c r="B22" s="294" t="str">
        <x:v>View operational dashboard statistics</x:v>
      </x:c>
      <x:c r="C22" s="294" t="str">
        <x:v>1. Login as Manager.
2. Open Dashboard.</x:v>
      </x:c>
      <x:c r="D22" s="294" t="str">
        <x:v>Dashboard shows basic operational counts/statistics consistent with stored feedback.</x:v>
      </x:c>
      <x:c r="E22" s="294" t="str">
        <x:v>None</x:v>
      </x:c>
      <x:c r="F22" s="294" t="str">
        <x:v>Fail</x:v>
      </x:c>
      <x:c r="G22" s="301" t="n">
        <x:v>46224</x:v>
      </x:c>
      <x:c r="H22" s="294" t="str">
        <x:v>Role: Manager (current implementation role = DepartmentManager). Opened Dashboard successfully. UI showed basic cards: Total Feedback = 1, Processing = 1, Resolved = 0, and recent activity showed only feedback '#25d46170' / title 'idk' in INPROGRESS. However, the database contains multiple feedback records, and earlier MGR-01 testing confirmed the Manager only sees records whose legacy DepartmentId matches the Manager department. Expected for restarted V1: Manager dashboard statistics should reflect all operational feedback because V1 has no department hierarchy. Current result is therefore FAIL against V1 due to legacy department-scoped dashboard data. Fix suggestion for developer: remove DepartmentId-based filtering from Manager dashboard queries/statistics and calculate counts from the full operational feedback set.</x:v>
      </x:c>
    </x:row>
  </x:sheetData>
  <x:conditionalFormatting sqref="F9:F22">
    <x:cfRule type="expression" dxfId="12" priority="1">
      <x:formula>F9="Pass"</x:formula>
    </x:cfRule>
    <x:cfRule type="expression" dxfId="13" priority="2">
      <x:formula>F9="Fail"</x:formula>
    </x:cfRule>
    <x:cfRule type="expression" dxfId="14" priority="3">
      <x:formula>F9="Untested"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32" hidden="0" customWidth="1"/>
    <x:col min="3" max="3" width="42" hidden="0" customWidth="1"/>
    <x:col min="4" max="4" width="44" hidden="0" customWidth="1"/>
    <x:col min="5" max="5" width="30" hidden="0" customWidth="1"/>
    <x:col min="6" max="6" width="12" hidden="0" customWidth="1"/>
    <x:col min="7" max="7" width="14" hidden="0" customWidth="1"/>
    <x:col min="8" max="8" width="48" hidden="0" customWidth="1"/>
  </x:cols>
  <x:sheetData>
    <x:row r="2">
      <x:c r="A2" s="349" t="str">
        <x:v>Module Code</x:v>
      </x:c>
      <x:c r="B2" t="str">
        <x:v>ADMIN</x:v>
      </x:c>
      <x:c r="C2"/>
      <x:c r="D2"/>
      <x:c r="E2"/>
    </x:row>
    <x:row r="3">
      <x:c r="A3" s="349" t="str">
        <x:v>Test requirement</x:v>
      </x:c>
      <x:c r="B3" t="str">
        <x:v>Admin user-account and category-management tests.</x:v>
      </x:c>
      <x:c r="C3"/>
      <x:c r="D3"/>
      <x:c r="E3"/>
    </x:row>
    <x:row r="4">
      <x:c r="A4" s="349" t="str">
        <x:v>Tester</x:v>
      </x:c>
      <x:c r="B4" t="str">
        <x:v>Tuan Như</x:v>
      </x:c>
      <x:c r="C4"/>
      <x:c r="D4"/>
      <x:c r="E4"/>
    </x:row>
    <x:row r="5">
      <x:c r="A5" s="352" t="str">
        <x:v>Pass</x:v>
      </x:c>
      <x:c r="B5" s="352" t="str">
        <x:v>Fail</x:v>
      </x:c>
      <x:c r="C5" s="352" t="str">
        <x:v>Untested</x:v>
      </x:c>
      <x:c r="D5" s="352" t="str">
        <x:v>N/A</x:v>
      </x:c>
      <x:c r="E5" s="352" t="str">
        <x:v>Number of Test cases</x:v>
      </x:c>
    </x:row>
    <x:row r="6">
      <x:c r="A6" t="n">
        <x:f>COUNTIF(F9:F22,"Pass")</x:f>
        <x:v>9</x:v>
      </x:c>
      <x:c r="B6" t="n">
        <x:f>COUNTIF(F9:F22,"Fail")</x:f>
        <x:v>3</x:v>
      </x:c>
      <x:c r="C6" t="n">
        <x:f>COUNTIF(F9:F22,"Untested")</x:f>
        <x:v>0</x:v>
      </x:c>
      <x:c r="D6" t="n">
        <x:v>0</x:v>
      </x:c>
      <x:c r="E6" t="n">
        <x:f>A6+B6+C6+D6</x:f>
        <x:v>12</x:v>
      </x:c>
    </x:row>
    <x:row r="8">
      <x:c r="A8" s="343" t="str">
        <x:v>ID</x:v>
      </x:c>
      <x:c r="B8" s="343" t="str">
        <x:v>Test Case Description</x:v>
      </x:c>
      <x:c r="C8" s="343" t="str">
        <x:v>Test Case Procedure</x:v>
      </x:c>
      <x:c r="D8" s="343" t="str">
        <x:v>Expected Output</x:v>
      </x:c>
      <x:c r="E8" s="343" t="str">
        <x:v>Inter-test case Dependence</x:v>
      </x:c>
      <x:c r="F8" s="343" t="str">
        <x:v>Result</x:v>
      </x:c>
      <x:c r="G8" s="343" t="str">
        <x:v>Test date</x:v>
      </x:c>
      <x:c r="H8" s="343" t="str">
        <x:v>Note</x:v>
      </x:c>
    </x:row>
    <x:row r="9">
      <x:c r="A9" s="325"/>
      <x:c r="B9" s="325" t="str">
        <x:v>Function H — User Administration</x:v>
      </x:c>
      <x:c r="C9" s="325"/>
      <x:c r="D9" s="325"/>
      <x:c r="E9" s="325"/>
      <x:c r="F9" s="325"/>
      <x:c r="G9" s="326"/>
      <x:c r="H9" s="325"/>
    </x:row>
    <x:row r="10">
      <x:c r="A10" s="294" t="str">
        <x:v>ADM-01</x:v>
      </x:c>
      <x:c r="B10" s="294" t="str">
        <x:v>View user account list</x:v>
      </x:c>
      <x:c r="C10" s="294" t="str">
        <x:v>1. Login as Admin.
2. Open User Management.</x:v>
      </x:c>
      <x:c r="D10" s="294" t="str">
        <x:v>Admin can view user accounts and their role/active status.</x:v>
      </x:c>
      <x:c r="E10" s="294" t="str">
        <x:v>None</x:v>
      </x:c>
      <x:c r="F10" s="294" t="str">
        <x:v>Pass</x:v>
      </x:c>
      <x:c r="G10" s="301" t="n">
        <x:v>46224</x:v>
      </x:c>
      <x:c r="H10" s="294" t="str">
        <x:v>Role: Admin (current implementation role = SystemAdmin). Login succeeded and Admin could open 'Quản lý người dùng' (/manage-users). The page displayed the existing accounts including manager1@test.com, admin1@test.com, staff1@test.com, customer2test2026@test.com, alaolo@gmail.com, and testcustomer2026@test.com, together with role, department, status, and action controls. Expected: Admin can view user accounts and their role/active status. Result matches this requirement. Additional observations for developer: after login the app again reused the previous /assigned-feedbacks route instead of starting at an Admin dashboard/home, confirming the stale protected return-URL/navigation issue. The current Admin menu also exposes legacy/out-of-scope V1 items such as operational feedback handling, Reports, Department Management, and System Audit Logs; these should be reviewed against the restarted V1 scope.</x:v>
      </x:c>
    </x:row>
    <x:row r="11">
      <x:c r="A11" s="294" t="str">
        <x:v>ADM-02</x:v>
      </x:c>
      <x:c r="B11" s="294" t="str">
        <x:v>Create an active Staff account</x:v>
      </x:c>
      <x:c r="C11" s="294" t="str">
        <x:v>1. Open User Management.
2. Create user with role STAFF and valid unique email.</x:v>
      </x:c>
      <x:c r="D11" s="294" t="str">
        <x:v>STAFF account is created successfully.</x:v>
      </x:c>
      <x:c r="E11" s="294" t="str">
        <x:v>None</x:v>
      </x:c>
      <x:c r="F11" s="294" t="str">
        <x:v>Fail</x:v>
      </x:c>
      <x:c r="G11" s="301" t="n">
        <x:v>46224</x:v>
      </x:c>
      <x:c r="H11" s="294" t="str">
        <x:v>Role: Admin (current implementation role = SystemAdmin). On 'Quản lý người dùng' (/manage-users), there is no 'Thêm người dùng', 'Tạo tài khoản', 'Add User', or equivalent create-user action. The page only exposes controls for existing users such as role/department selection, Save, Deactivate, and Delete. Current result: Admin cannot create a new Staff account from the UI. Expected: Admin can create an active STAFF account with valid unique information. Fix suggestion for developer: add a Create User flow/page/modal for Admin and support creation of the restarted V1 roles; validate unique email and required fields in both FE and BE.</x:v>
      </x:c>
    </x:row>
    <x:row r="12">
      <x:c r="A12" s="294" t="str">
        <x:v>ADM-03</x:v>
      </x:c>
      <x:c r="B12" s="294" t="str">
        <x:v>Create an active Manager account</x:v>
      </x:c>
      <x:c r="C12" s="294" t="str">
        <x:v>1. Create user with role MANAGER and valid unique email.</x:v>
      </x:c>
      <x:c r="D12" s="294" t="str">
        <x:v>MANAGER account is created successfully.</x:v>
      </x:c>
      <x:c r="E12" s="294" t="str">
        <x:v>None</x:v>
      </x:c>
      <x:c r="F12" s="294" t="str">
        <x:v>Fail</x:v>
      </x:c>
      <x:c r="G12" s="301" t="n">
        <x:v>46224</x:v>
      </x:c>
      <x:c r="H12" s="294" t="str">
        <x:v>Role: Admin (current implementation role = SystemAdmin). The same missing create-user function also prevents Admin from creating a Manager account. Current result: no UI action exists to create a new Manager. Expected: Admin can create an active MANAGER account with valid unique information. Fix suggestion for developer: implement Admin Create User and align role values with the restarted V1 model (Customer, Staff, Manager, Admin) instead of relying only on the legacy SupportStaff / DepartmentManager / SystemAdmin enum.</x:v>
      </x:c>
    </x:row>
    <x:row r="13">
      <x:c r="A13" s="294" t="str">
        <x:v>ADM-04</x:v>
      </x:c>
      <x:c r="B13" s="294" t="str">
        <x:v>Reject duplicate user email</x:v>
      </x:c>
      <x:c r="C13" s="294" t="str">
        <x:v>1. Attempt to create a user using an existing email.</x:v>
      </x:c>
      <x:c r="D13" s="294" t="str">
        <x:v>Creation is rejected because email must be unique.</x:v>
      </x:c>
      <x:c r="E13" s="294" t="str">
        <x:v>None</x:v>
      </x:c>
      <x:c r="F13" s="294" t="str">
        <x:v>Fail</x:v>
      </x:c>
      <x:c r="G13" s="301" t="n">
        <x:v>46224</x:v>
      </x:c>
      <x:c r="H13" s="294" t="str">
        <x:v>Role: Admin (current implementation role = SystemAdmin). The required Create User function is absent from User Management, as already confirmed in ADM-02 and ADM-03. Therefore there is no Admin create-user flow in which an existing email can be entered and rejected as duplicate. Expected: attempting to create a user with an existing email is rejected because email must be unique. Current result: the required flow/validation is unavailable because user creation itself is missing. Fix suggestion for developer: implement Admin Create User first, then enforce unique email validation in both FE and BE.</x:v>
      </x:c>
    </x:row>
    <x:row r="14">
      <x:c r="A14" s="294" t="str">
        <x:v>ADM-05</x:v>
      </x:c>
      <x:c r="B14" s="294" t="str">
        <x:v>Deactivate a user account</x:v>
      </x:c>
      <x:c r="C14" s="294" t="str">
        <x:v>1. Select an active Staff/Manager account.
2. Deactivate it.</x:v>
      </x:c>
      <x:c r="D14" s="294" t="str">
        <x:v>Account becomes inactive while historical references remain.</x:v>
      </x:c>
      <x:c r="E14" s="294" t="str">
        <x:v>None</x:v>
      </x:c>
      <x:c r="F14" s="294" t="str">
        <x:v>Pass</x:v>
      </x:c>
      <x:c r="G14" s="301" t="n">
        <x:v>46224</x:v>
      </x:c>
      <x:c r="H14" s="294" t="str">
        <x:v>Role: Admin (current implementation role = SystemAdmin). Admin deactivated the test account staff1@test.com from 'Quản lý người dùng'. The user record remained in the system and the account was changed to a disabled/inactive state. Expected: account becomes inactive while historical references remain. Result matches the requirement.</x:v>
      </x:c>
    </x:row>
    <x:row r="15">
      <x:c r="A15" s="294" t="str">
        <x:v>ADM-06</x:v>
      </x:c>
      <x:c r="B15" s="294" t="str">
        <x:v>Verify deactivated user cannot login</x:v>
      </x:c>
      <x:c r="C15" s="294" t="str">
        <x:v>1. Complete ADM-05.
2. Attempt login with correct credentials.</x:v>
      </x:c>
      <x:c r="D15" s="294" t="str">
        <x:v>Login is rejected.</x:v>
      </x:c>
      <x:c r="E15" s="294" t="str">
        <x:v>None</x:v>
      </x:c>
      <x:c r="F15" s="294" t="str">
        <x:v>Pass</x:v>
      </x:c>
      <x:c r="G15" s="301" t="n">
        <x:v>46224</x:v>
      </x:c>
      <x:c r="H15" s="294" t="str">
        <x:v>After deactivating staff1@test.com, login was attempted with the correct password. The system rejected the login and showed: 'This account has been disabled. Please contact support.'. Expected: deactivated users cannot login. Result matches the requirement.</x:v>
      </x:c>
    </x:row>
    <x:row r="16">
      <x:c r="A16" s="325"/>
      <x:c r="B16" s="325" t="str">
        <x:v>Function I — Category Administration</x:v>
      </x:c>
      <x:c r="C16" s="325"/>
      <x:c r="D16" s="325"/>
      <x:c r="E16" s="325"/>
      <x:c r="F16" s="325"/>
      <x:c r="G16" s="326"/>
      <x:c r="H16" s="325"/>
    </x:row>
    <x:row r="17">
      <x:c r="A17" s="294" t="str">
        <x:v>ADM-07</x:v>
      </x:c>
      <x:c r="B17" s="294" t="str">
        <x:v>View feedback categories</x:v>
      </x:c>
      <x:c r="C17" s="294" t="str">
        <x:v>1. Login as Admin.
2. Open Category Management.</x:v>
      </x:c>
      <x:c r="D17" s="294" t="str">
        <x:v>Admin can view category name, description and active status.</x:v>
      </x:c>
      <x:c r="E17" s="294" t="str">
        <x:v>None</x:v>
      </x:c>
      <x:c r="F17" s="294" t="str">
        <x:v>Pass</x:v>
      </x:c>
      <x:c r="G17" s="301" t="n">
        <x:v>46224</x:v>
      </x:c>
      <x:c r="H17" s="294" t="str">
        <x:v>Role: Admin (current implementation role = SystemAdmin). Opened 'Quản lý danh mục phản hồi' (/manage-categories). The existing category 'Service' was displayed with description 'General service feedback', active status 'ĐANG HOẠT ĐỘNG', and Edit/Deactivate actions. Expected: Admin can view category name, description, and active status. Result matches the requirement. Additional developer note: the page still includes legacy 'Phòng ban xử lý' / department assignment for categories, which is outside the restarted V1 scope and should be reviewed/removed when aligning the implementation.</x:v>
      </x:c>
    </x:row>
    <x:row r="18">
      <x:c r="A18" s="294" t="str">
        <x:v>ADM-08</x:v>
      </x:c>
      <x:c r="B18" s="294" t="str">
        <x:v>Create a new active category</x:v>
      </x:c>
      <x:c r="C18" s="294" t="str">
        <x:v>1. Enter a unique category name and valid description.
2. Save.</x:v>
      </x:c>
      <x:c r="D18" s="294" t="str">
        <x:v>New category is created successfully.</x:v>
      </x:c>
      <x:c r="E18" s="294" t="str">
        <x:v>None</x:v>
      </x:c>
      <x:c r="F18" s="294" t="str">
        <x:v>Pass</x:v>
      </x:c>
      <x:c r="G18" s="301" t="n">
        <x:v>46224</x:v>
      </x:c>
      <x:c r="H18" s="294" t="str">
        <x:v>Role: Admin (current implementation role = SystemAdmin). Created a new category with Name='Product Quality', Department='Chưa gán phòng ban', and Description='Feedback about product quality issues.'. The system accepted the action and showed: 'Đã tạo danh mục.'. Expected: a new active category with a unique name is created successfully. Result matches the requirement. Developer note: the creation form still exposes legacy department assignment ('Phòng ban xử lý'), which should be reviewed/removed for the restarted V1 scope.</x:v>
      </x:c>
    </x:row>
    <x:row r="19">
      <x:c r="A19" s="294" t="str">
        <x:v>ADM-09</x:v>
      </x:c>
      <x:c r="B19" s="294" t="str">
        <x:v>Reject duplicate category name</x:v>
      </x:c>
      <x:c r="C19" s="294" t="str">
        <x:v>1. Attempt to create another category with an existing name.</x:v>
      </x:c>
      <x:c r="D19" s="294" t="str">
        <x:v>Creation is rejected because category name must be unique.</x:v>
      </x:c>
      <x:c r="E19" s="294" t="str">
        <x:v>None</x:v>
      </x:c>
      <x:c r="F19" s="294" t="str">
        <x:v>Pass</x:v>
      </x:c>
      <x:c r="G19" s="301" t="n">
        <x:v>46224</x:v>
      </x:c>
      <x:c r="H19" s="294" t="str">
        <x:v>Role: Admin (current implementation role = SystemAdmin). Attempted to create another category with the existing name 'Product Quality'. The system rejected the duplicate and showed: "Category 'Product Quality' already exists." Expected: duplicate category names are not allowed. Result matches the requirement.</x:v>
      </x:c>
    </x:row>
    <x:row r="20">
      <x:c r="A20" s="294" t="str">
        <x:v>ADM-10</x:v>
      </x:c>
      <x:c r="B20" s="294" t="str">
        <x:v>Update category information</x:v>
      </x:c>
      <x:c r="C20" s="294" t="str">
        <x:v>1. Select an existing category.
2. Update allowed fields.
3. Save.</x:v>
      </x:c>
      <x:c r="D20" s="294" t="str">
        <x:v>Category changes are saved.</x:v>
      </x:c>
      <x:c r="E20" s="294" t="str">
        <x:v>None</x:v>
      </x:c>
      <x:c r="F20" s="294" t="str">
        <x:v>Pass</x:v>
      </x:c>
      <x:c r="G20" s="301" t="n">
        <x:v>46224</x:v>
      </x:c>
      <x:c r="H20" s="294" t="str">
        <x:v>Role: Admin (current implementation role = SystemAdmin). Opened category 'Product Quality', changed its description to 'Updated product quality feedback category.', and saved the change. The system accepted the update and showed: 'Đã cập nhật danh mục.'. Expected: allowed category changes are saved successfully. Result matches the requirement.</x:v>
      </x:c>
    </x:row>
    <x:row r="21">
      <x:c r="A21" s="294" t="str">
        <x:v>ADM-11</x:v>
      </x:c>
      <x:c r="B21" s="294" t="str">
        <x:v>Deactivate a category</x:v>
      </x:c>
      <x:c r="C21" s="294" t="str">
        <x:v>1. Select an active category.
2. Deactivate it.</x:v>
      </x:c>
      <x:c r="D21" s="294" t="str">
        <x:v>Category becomes inactive without deleting historical feedback references.</x:v>
      </x:c>
      <x:c r="E21" s="294" t="str">
        <x:v>None</x:v>
      </x:c>
      <x:c r="F21" s="294" t="str">
        <x:v>Pass</x:v>
      </x:c>
      <x:c r="G21" s="301" t="n">
        <x:v>46224</x:v>
      </x:c>
      <x:c r="H21" s="294" t="str">
        <x:v>Role: Admin (current implementation role = SystemAdmin). Deactivated the test category 'Product Quality'. The system showed 'Đã cập nhật trạng thái danh mục.' and the category remained in the list with status 'ĐÃ VÔ HIỆU HÓA' plus a 'Kích hoạt' action. Expected: category becomes inactive without deleting historical references. Result matches the requirement. Additional observation: category management still contains legacy department assignment data (for example 'Customer Support'), which should be reviewed against the restarted V1 scope.</x:v>
      </x:c>
    </x:row>
    <x:row r="22">
      <x:c r="A22" s="294" t="str">
        <x:v>ADM-12</x:v>
      </x:c>
      <x:c r="B22" s="294" t="str">
        <x:v>Verify inactive category is unavailable for new feedback</x:v>
      </x:c>
      <x:c r="C22" s="294" t="str">
        <x:v>1. Complete ADM-11.
2. Login as Customer.
3. Open Submit Feedback.</x:v>
      </x:c>
      <x:c r="D22" s="294" t="str">
        <x:v>Inactive category is not selectable for new feedback.</x:v>
      </x:c>
      <x:c r="E22" s="294" t="str">
        <x:v>ADM-11</x:v>
      </x:c>
      <x:c r="F22" s="294" t="str">
        <x:v>Pass</x:v>
      </x:c>
      <x:c r="G22" s="301" t="n">
        <x:v>46224</x:v>
      </x:c>
      <x:c r="H22" s="294" t="str">
        <x:v>Role: Admin/Customer cross-check. After Admin deactivated 'Product Quality', logged in as Customer and opened Submit Feedback. The category dropdown showed active categories such as 'idk' and 'Service', but 'Product Quality' was not present. Expected: inactive categories are not selectable for new feedback. Result matches the requirement. Additional navigation observation: immediately after switching from Admin to Customer, the app first landed on /unauthorized instead of the Customer dashboard/home, again confirming the stale protected return-URL/navigation issue across role changes.</x:v>
      </x:c>
    </x:row>
  </x:sheetData>
  <x:conditionalFormatting sqref="F9:F22">
    <x:cfRule type="expression" dxfId="15" priority="1">
      <x:formula>F9="Pass"</x:formula>
    </x:cfRule>
    <x:cfRule type="expression" dxfId="16" priority="2">
      <x:formula>F9="Fail"</x:formula>
    </x:cfRule>
    <x:cfRule type="expression" dxfId="17" priority="3">
      <x:formula>F9="Untested"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32" hidden="0" customWidth="1"/>
    <x:col min="3" max="3" width="42" hidden="0" customWidth="1"/>
    <x:col min="4" max="4" width="44" hidden="0" customWidth="1"/>
    <x:col min="5" max="5" width="30" hidden="0" customWidth="1"/>
    <x:col min="6" max="6" width="12" hidden="0" customWidth="1"/>
    <x:col min="7" max="7" width="14" hidden="0" customWidth="1"/>
    <x:col min="8" max="8" width="48" hidden="0" customWidth="1"/>
  </x:cols>
  <x:sheetData>
    <x:row r="2">
      <x:c r="A2" s="349" t="str">
        <x:v>Module Code</x:v>
      </x:c>
      <x:c r="B2" t="str">
        <x:v>GUI-SCOPE-DATE</x:v>
      </x:c>
      <x:c r="C2"/>
      <x:c r="D2"/>
      <x:c r="E2"/>
    </x:row>
    <x:row r="3">
      <x:c r="A3" s="349" t="str">
        <x:v>Test requirement</x:v>
      </x:c>
      <x:c r="B3" t="str">
        <x:v>GUI/layout, role navigation, scope compliance and required date-time algorithm black-box cases.</x:v>
      </x:c>
      <x:c r="C3"/>
      <x:c r="D3"/>
      <x:c r="E3"/>
    </x:row>
    <x:row r="4">
      <x:c r="A4" s="349" t="str">
        <x:v>Tester</x:v>
      </x:c>
      <x:c r="B4" t="str">
        <x:v>Tuan Như</x:v>
      </x:c>
      <x:c r="C4"/>
      <x:c r="D4"/>
      <x:c r="E4"/>
    </x:row>
    <x:row r="5">
      <x:c r="A5" s="352" t="str">
        <x:v>Pass</x:v>
      </x:c>
      <x:c r="B5" s="352" t="str">
        <x:v>Fail</x:v>
      </x:c>
      <x:c r="C5" s="352" t="str">
        <x:v>Untested</x:v>
      </x:c>
      <x:c r="D5" s="352" t="str">
        <x:v>N/A</x:v>
      </x:c>
      <x:c r="E5" s="352" t="str">
        <x:v>Number of Test cases</x:v>
      </x:c>
    </x:row>
    <x:row r="6">
      <x:c r="A6" t="n">
        <x:f>COUNTIF(F9:F22,"Pass")</x:f>
        <x:v>7</x:v>
      </x:c>
      <x:c r="B6" t="n">
        <x:f>COUNTIF(F9:F22,"Fail")</x:f>
        <x:v>5</x:v>
      </x:c>
      <x:c r="C6" t="n">
        <x:f>COUNTIF(F9:F22,"Untested")</x:f>
        <x:v>0</x:v>
      </x:c>
      <x:c r="D6" t="n">
        <x:v>0</x:v>
      </x:c>
      <x:c r="E6" t="n">
        <x:f>A6+B6+C6+D6</x:f>
        <x:v>12</x:v>
      </x:c>
    </x:row>
    <x:row r="8">
      <x:c r="A8" s="343" t="str">
        <x:v>ID</x:v>
      </x:c>
      <x:c r="B8" s="343" t="str">
        <x:v>Test Case Description</x:v>
      </x:c>
      <x:c r="C8" s="343" t="str">
        <x:v>Test Case Procedure</x:v>
      </x:c>
      <x:c r="D8" s="343" t="str">
        <x:v>Expected Output</x:v>
      </x:c>
      <x:c r="E8" s="343" t="str">
        <x:v>Inter-test case Dependence</x:v>
      </x:c>
      <x:c r="F8" s="343" t="str">
        <x:v>Result</x:v>
      </x:c>
      <x:c r="G8" s="343" t="str">
        <x:v>Test date</x:v>
      </x:c>
      <x:c r="H8" s="343" t="str">
        <x:v>Note</x:v>
      </x:c>
    </x:row>
    <x:row r="9">
      <x:c r="A9" s="325"/>
      <x:c r="B9" s="325" t="str">
        <x:v>Function J — GUI / Role Navigation / Scope Compliance</x:v>
      </x:c>
      <x:c r="C9" s="325"/>
      <x:c r="D9" s="325"/>
      <x:c r="E9" s="325"/>
      <x:c r="F9" s="325"/>
      <x:c r="G9" s="326"/>
      <x:c r="H9" s="325"/>
    </x:row>
    <x:row r="10">
      <x:c r="A10" s="294" t="str">
        <x:v>GUI-01</x:v>
      </x:c>
      <x:c r="B10" s="294" t="str">
        <x:v>Customer navigation shows only Customer-appropriate core functions</x:v>
      </x:c>
      <x:c r="C10" s="294" t="str">
        <x:v>1. Login as Customer.
2. Inspect navigation and available actions.</x:v>
      </x:c>
      <x:c r="D10" s="294" t="str">
        <x:v>Customer sees Customer functions and does not see Staff/Manager/Admin operations.</x:v>
      </x:c>
      <x:c r="E10" s="294" t="str">
        <x:v>None</x:v>
      </x:c>
      <x:c r="F10" s="294" t="str">
        <x:v>Pass</x:v>
      </x:c>
      <x:c r="G10" s="301" t="n">
        <x:v>46224</x:v>
      </x:c>
      <x:c r="H10" s="294" t="str">
        <x:v>Role: Customer. Observed navigation includes Customer-appropriate functions such as Dashboard, Notifications, Submit Feedback (Gửi phản hồi), and My Feedback (Phản hồi của tôi). No Staff assignment, Manager assignment/reassignment, or Admin user/category management navigation is exposed. Result matches the role-navigation expectation.</x:v>
      </x:c>
    </x:row>
    <x:row r="11">
      <x:c r="A11" s="294" t="str">
        <x:v>GUI-02</x:v>
      </x:c>
      <x:c r="B11" s="294" t="str">
        <x:v>Staff navigation shows only Staff-appropriate core functions</x:v>
      </x:c>
      <x:c r="C11" s="294" t="str">
        <x:v>1. Login as Staff.
2. Inspect navigation.</x:v>
      </x:c>
      <x:c r="D11" s="294" t="str">
        <x:v>Staff sees assigned-work functions and no Manager/Admin management functions.</x:v>
      </x:c>
      <x:c r="E11" s="294" t="str">
        <x:v>None</x:v>
      </x:c>
      <x:c r="F11" s="294" t="str">
        <x:v>Pass</x:v>
      </x:c>
      <x:c r="G11" s="301" t="n">
        <x:v>46224</x:v>
      </x:c>
      <x:c r="H11" s="294" t="str">
        <x:v>Role: Staff (current implementation role = SupportStaff). Observed navigation includes Dashboard, Notifications, and Assigned Feedback (Phản hồi được giao). Manager/Admin management navigation is not exposed to Staff. Result matches the role-navigation expectation.</x:v>
      </x:c>
    </x:row>
    <x:row r="12">
      <x:c r="A12" s="294" t="str">
        <x:v>GUI-03</x:v>
      </x:c>
      <x:c r="B12" s="294" t="str">
        <x:v>Manager navigation shows Manager operational functions</x:v>
      </x:c>
      <x:c r="C12" s="294" t="str">
        <x:v>1. Login as Manager.
2. Inspect navigation.</x:v>
      </x:c>
      <x:c r="D12" s="294" t="str">
        <x:v>Manager sees operational review/assign/reassign/close/dashboard functions.</x:v>
      </x:c>
      <x:c r="E12" s="294" t="str">
        <x:v>None</x:v>
      </x:c>
      <x:c r="F12" s="294" t="str">
        <x:v>Pass</x:v>
      </x:c>
      <x:c r="G12" s="301" t="n">
        <x:v>46224</x:v>
      </x:c>
      <x:c r="H12" s="294" t="str">
        <x:v>Role: Manager (current implementation role = DepartmentManager). Observed navigation includes Dashboard, Notifications, feedback management ('Phản hồi được giao' / operational feedback page), and Reports. On feedback detail, Manager has operational controls for status update and reassignment ('Chuyển giao'). Expected: Manager sees operational review/assignment/reassignment/close/dashboard functions. Result matches the core role-navigation expectation, although legacy department-scoped behavior is separately recorded as failures in MGR-01 and MGR-12.</x:v>
      </x:c>
    </x:row>
    <x:row r="13">
      <x:c r="A13" s="294" t="str">
        <x:v>GUI-04</x:v>
      </x:c>
      <x:c r="B13" s="294" t="str">
        <x:v>Admin navigation shows administrative functions</x:v>
      </x:c>
      <x:c r="C13" s="294" t="str">
        <x:v>1. Login as Admin.
2. Inspect navigation.</x:v>
      </x:c>
      <x:c r="D13" s="294" t="str">
        <x:v>Admin sees user/category administration and does not participate in normal feedback processing.</x:v>
      </x:c>
      <x:c r="E13" s="294" t="str">
        <x:v>None</x:v>
      </x:c>
      <x:c r="F13" s="294" t="str">
        <x:v>Fail</x:v>
      </x:c>
      <x:c r="G13" s="301" t="n">
        <x:v>46224</x:v>
      </x:c>
      <x:c r="H13" s="294" t="str">
        <x:v>Role: Admin (current implementation role = SystemAdmin). Admin navigation does include administrative functions such as User Management and Category Management, but the current implementation also exposes normal operational feedback handling plus legacy/out-of-scope items such as Reports, Department Management, and System Audit Logs. Expected restarted V1 behavior: Admin handles administration and does not participate in normal feedback processing. Fix suggestion for developer: remove operational feedback-processing navigation/actions from Admin and remove/review legacy out-of-scope modules.</x:v>
      </x:c>
    </x:row>
    <x:row r="14">
      <x:c r="A14" s="294" t="str">
        <x:v>GUI-05</x:v>
      </x:c>
      <x:c r="B14" s="294" t="str">
        <x:v>Forms clearly identify required fields and validation errors</x:v>
      </x:c>
      <x:c r="C14" s="294" t="str">
        <x:v>1. Open registration and feedback forms.
2. Submit invalid/missing input.</x:v>
      </x:c>
      <x:c r="D14" s="294" t="str">
        <x:v>Required fields are identifiable and validation errors are clear.</x:v>
      </x:c>
      <x:c r="E14" s="294" t="str">
        <x:v>None</x:v>
      </x:c>
      <x:c r="F14" s="294" t="str">
        <x:v>Fail</x:v>
      </x:c>
      <x:c r="G14" s="301" t="n">
        <x:v>46224</x:v>
      </x:c>
      <x:c r="H14" s="294" t="str">
        <x:v>Registration form validation messages were clear for required fields, invalid email, duplicate email, password rules, and password confirmation. However, Submit Feedback validation is incomplete/incorrect: required Rating 1–5 is missing entirely, a 4-character title was accepted despite the 5-character minimum, a 9-character description was accepted despite the 10-character minimum, and a 2001-character description was accepted despite the 2000-character maximum. Therefore forms do not consistently identify/enforce required fields and validation rules. Fix suggestion for developer: add the required Rating control and align FE/BE validation with the V1 title/description limits.</x:v>
      </x:c>
    </x:row>
    <x:row r="15">
      <x:c r="A15" s="294" t="str">
        <x:v>SCOPE-01</x:v>
      </x:c>
      <x:c r="B15" s="294" t="str">
        <x:v>V1 Submit Feedback does not expose file/image attachment feature</x:v>
      </x:c>
      <x:c r="C15" s="294" t="str">
        <x:v>1. Open Submit Feedback and Feedback Detail.</x:v>
      </x:c>
      <x:c r="D15" s="294" t="str">
        <x:v>No attachment upload/management feature is exposed in V1.</x:v>
      </x:c>
      <x:c r="E15" s="294" t="str">
        <x:v>None</x:v>
      </x:c>
      <x:c r="F15" s="294" t="str">
        <x:v>Fail</x:v>
      </x:c>
      <x:c r="G15" s="301" t="n">
        <x:v>46224</x:v>
      </x:c>
      <x:c r="H15" s="294" t="str">
        <x:v>Current FE includes attachment upload although attachments are explicitly out of V1 scope.</x:v>
      </x:c>
    </x:row>
    <x:row r="16">
      <x:c r="A16" s="294" t="str">
        <x:v>SCOPE-02</x:v>
      </x:c>
      <x:c r="B16" s="294" t="str">
        <x:v>V1 feedback detail does not expose internal chat/comment feature</x:v>
      </x:c>
      <x:c r="C16" s="294" t="str">
        <x:v>1. Open feedback detail.</x:v>
      </x:c>
      <x:c r="D16" s="294" t="str">
        <x:v>No real-time/internal chat/comment workflow is exposed in V1.</x:v>
      </x:c>
      <x:c r="E16" s="294" t="str">
        <x:v>None</x:v>
      </x:c>
      <x:c r="F16" s="294" t="str">
        <x:v>Fail</x:v>
      </x:c>
      <x:c r="G16" s="301" t="n">
        <x:v>46224</x:v>
      </x:c>
      <x:c r="H16" s="294" t="str">
        <x:v>Current detail includes a discussion/comment area ('Lịch Sử Trao Đổi'), which is outside V1 scope.</x:v>
      </x:c>
    </x:row>
    <x:row r="17">
      <x:c r="A17" s="294" t="str">
        <x:v>SCOPE-03</x:v>
      </x:c>
      <x:c r="B17" s="294" t="str">
        <x:v>V1 API/UI does not expose Google/social login</x:v>
      </x:c>
      <x:c r="C17" s="294" t="str">
        <x:v>1. Review login UI and exposed authentication operations.</x:v>
      </x:c>
      <x:c r="D17" s="294" t="str">
        <x:v>Google/social login is not available in V1.</x:v>
      </x:c>
      <x:c r="E17" s="294" t="str">
        <x:v>None</x:v>
      </x:c>
      <x:c r="F17" s="294" t="str">
        <x:v>Fail</x:v>
      </x:c>
      <x:c r="G17" s="301" t="n">
        <x:v>46224</x:v>
      </x:c>
      <x:c r="H17" s="294" t="str">
        <x:v>Current Swagger exposes a google-login endpoint from the old implementation.</x:v>
      </x:c>
    </x:row>
    <x:row r="18">
      <x:c r="A18" s="325"/>
      <x:c r="B18" s="325" t="str">
        <x:v>Function K — Date-Time Checking Algorithm (Lab 1 requirement)</x:v>
      </x:c>
      <x:c r="C18" s="325"/>
      <x:c r="D18" s="325"/>
      <x:c r="E18" s="325"/>
      <x:c r="F18" s="325"/>
      <x:c r="G18" s="326"/>
      <x:c r="H18" s="325"/>
    </x:row>
    <x:row r="19">
      <x:c r="A19" s="294" t="str">
        <x:v>DATE-01</x:v>
      </x:c>
      <x:c r="B19" s="294" t="str">
        <x:v>DayInMonth returns 31 for January</x:v>
      </x:c>
      <x:c r="C19" s="294" t="str">
        <x:v>Call/check DayInMonth with Year=2026, Month=1.</x:v>
      </x:c>
      <x:c r="D19" s="294" t="str">
        <x:v>Return value is 31.</x:v>
      </x:c>
      <x:c r="E19" s="294" t="str">
        <x:v>None</x:v>
      </x:c>
      <x:c r="F19" s="294" t="str">
        <x:v>Pass</x:v>
      </x:c>
      <x:c r="G19" s="301" t="n">
        <x:v>46224</x:v>
      </x:c>
      <x:c r="H19" s="294" t="str">
        <x:v>DATE-01: Actual result = 31; expected = 31.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row r="20">
      <x:c r="A20" s="294" t="str">
        <x:v>DATE-02</x:v>
      </x:c>
      <x:c r="B20" s="294" t="str">
        <x:v>DayInMonth handles leap-year February</x:v>
      </x:c>
      <x:c r="C20" s="294" t="str">
        <x:v>Call/check DayInMonth with Year=2024, Month=2.</x:v>
      </x:c>
      <x:c r="D20" s="294" t="str">
        <x:v>Return value is 29.</x:v>
      </x:c>
      <x:c r="E20" s="294" t="str">
        <x:v>None</x:v>
      </x:c>
      <x:c r="F20" s="294" t="str">
        <x:v>Pass</x:v>
      </x:c>
      <x:c r="G20" s="301" t="n">
        <x:v>46224</x:v>
      </x:c>
      <x:c r="H20" s="294" t="str">
        <x:v>DATE-02: Actual result = 29; expected = 29.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row r="21">
      <x:c r="A21" s="294" t="str">
        <x:v>DATE-03</x:v>
      </x:c>
      <x:c r="B21" s="294" t="str">
        <x:v>CheckDate accepts a valid date</x:v>
      </x:c>
      <x:c r="C21" s="294" t="str">
        <x:v>Call/check CheckDate with Year=2024, Month=2, Day=29.</x:v>
      </x:c>
      <x:c r="D21" s="294" t="str">
        <x:v>Return value is True.</x:v>
      </x:c>
      <x:c r="E21" s="294" t="str">
        <x:v>None</x:v>
      </x:c>
      <x:c r="F21" s="294" t="str">
        <x:v>Pass</x:v>
      </x:c>
      <x:c r="G21" s="301" t="n">
        <x:v>46224</x:v>
      </x:c>
      <x:c r="H21" s="294" t="str">
        <x:v>DATE-03: Actual result = True; expected = True.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row r="22">
      <x:c r="A22" s="294" t="str">
        <x:v>DATE-04</x:v>
      </x:c>
      <x:c r="B22" s="294" t="str">
        <x:v>CheckDate rejects an invalid date</x:v>
      </x:c>
      <x:c r="C22" s="294" t="str">
        <x:v>Call/check CheckDate with Year=2023, Month=2, Day=29.</x:v>
      </x:c>
      <x:c r="D22" s="294" t="str">
        <x:v>Return value is False.</x:v>
      </x:c>
      <x:c r="E22" s="294" t="str">
        <x:v>None</x:v>
      </x:c>
      <x:c r="F22" s="294" t="str">
        <x:v>Pass</x:v>
      </x:c>
      <x:c r="G22" s="301" t="n">
        <x:v>46224</x:v>
      </x:c>
      <x:c r="H22" s="294" t="str">
        <x:v>DATE-04: Actual result = False; expected = False.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sheetData>
  <x:conditionalFormatting sqref="F9:F22">
    <x:cfRule type="expression" dxfId="18" priority="1">
      <x:formula>F9="Pass"</x:formula>
    </x:cfRule>
    <x:cfRule type="expression" dxfId="19" priority="2">
      <x:formula>F9="Fail"</x:formula>
    </x:cfRule>
    <x:cfRule type="expression" dxfId="20" priority="3">
      <x:formula>F9="Untested"</x:formula>
    </x:cfRule>
  </x:conditionalFormatting>
  <x:pageMargins left="0.7" right="0.7" top="0.75" bottom="0.75" header="0.3" footer="0.3"/>
</x:worksheet>
</file>