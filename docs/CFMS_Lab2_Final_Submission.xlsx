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comments2.xml" ContentType="application/vnd.openxmlformats-officedocument.spreadsheetml.comments+xml"/>
  <Override PartName="/xl/worksheets/sheet6.xml" ContentType="application/vnd.openxmlformats-officedocument.spreadsheetml.worksheet+xml"/>
  <Override PartName="/xl/comments3.xml" ContentType="application/vnd.openxmlformats-officedocument.spreadsheetml.comments+xml"/>
  <Override PartName="/xl/worksheets/sheet7.xml" ContentType="application/vnd.openxmlformats-officedocument.spreadsheetml.worksheet+xml"/>
  <Override PartName="/xl/comments4.xml" ContentType="application/vnd.openxmlformats-officedocument.spreadsheetml.comments+xml"/>
  <Override PartName="/xl/worksheets/sheet8.xml" ContentType="application/vnd.openxmlformats-officedocument.spreadsheetml.worksheet+xml"/>
  <Override PartName="/xl/comments5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4edee9d6b141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leline" sheetId="1" r:id="Rc63a424bdf254504"/>
    <x:sheet xmlns:r="http://schemas.openxmlformats.org/officeDocument/2006/relationships" name="Cover" sheetId="2" r:id="Ra2770a7183d5415d"/>
    <x:sheet xmlns:r="http://schemas.openxmlformats.org/officeDocument/2006/relationships" name="FunctionList" sheetId="3" r:id="R0b054717233a4f43"/>
    <x:sheet xmlns:r="http://schemas.openxmlformats.org/officeDocument/2006/relationships" name="Test Report" sheetId="4" r:id="Reffd4e0495b7430f"/>
    <x:sheet xmlns:r="http://schemas.openxmlformats.org/officeDocument/2006/relationships" name="Function1" sheetId="5" r:id="Re0a3599959144c53"/>
    <x:sheet xmlns:r="http://schemas.openxmlformats.org/officeDocument/2006/relationships" name="Function2" sheetId="6" r:id="R6d243f15a1534273"/>
    <x:sheet xmlns:r="http://schemas.openxmlformats.org/officeDocument/2006/relationships" name="Function3" sheetId="7" r:id="Rd094ccbf166845f4"/>
    <x:sheet xmlns:r="http://schemas.openxmlformats.org/officeDocument/2006/relationships" name="Example" sheetId="8" r:id="R90b005e29362499a"/>
  </x:sheets>
  <x:definedNames>
    <x:definedName name="ACTION" hidden="0" function="0" vbProcedure="0">#REF!</x:definedName>
    <x:definedName name="Z_2C0D9096_8D85_462A_A9B5_0B488ADB4269__wvu_PrintArea" localSheetId="3" hidden="0" function="0" vbProcedure="0">'Test Report'!$A:$I</x:definedName>
    <x:definedName name="Z_6F1DCD5D_5DAC_4817_BF40_2B66F6F593E6__wvu_PrintArea" localSheetId="3" hidden="0" function="0" vbProcedure="0">'Test Report'!$A:$I</x:definedName>
    <x:definedName name="Z_BE54E0AD_3725_4423_92D7_4F1C045BE1BC__wvu_PrintArea" localSheetId="3" hidden="0" function="0" vbProcedure="0">'Test Report'!$A:$I</x:definedName>
    <x:definedName name="Z_2C0D9096_8D85_462A_A9B5_0B488ADB4269__wvu_Cols" localSheetId="4" hidden="0" function="0" vbProcedure="0">Function1!$E:$E</x:definedName>
    <x:definedName name="Z_6F1DCD5D_5DAC_4817_BF40_2B66F6F593E6__wvu_Cols" localSheetId="4" hidden="0" function="0" vbProcedure="0">Function1!$E:$E</x:definedName>
    <x:definedName name="Z_BE54E0AD_3725_4423_92D7_4F1C045BE1BC__wvu_Cols" localSheetId="4" hidden="0" function="0" vbProcedure="0">Function1!$E:$E</x:definedName>
    <x:definedName name="Z_2C0D9096_8D85_462A_A9B5_0B488ADB4269__wvu_Cols" localSheetId="5" hidden="0" function="0" vbProcedure="0">Function2!$E:$E</x:definedName>
    <x:definedName name="Z_6F1DCD5D_5DAC_4817_BF40_2B66F6F593E6__wvu_Cols" localSheetId="5" hidden="0" function="0" vbProcedure="0">Function2!$E:$E</x:definedName>
    <x:definedName name="Z_BE54E0AD_3725_4423_92D7_4F1C045BE1BC__wvu_Cols" localSheetId="5" hidden="0" function="0" vbProcedure="0">Function2!$E:$E</x:definedName>
    <x:definedName name="Z_2C0D9096_8D85_462A_A9B5_0B488ADB4269__wvu_Cols" localSheetId="6" hidden="0" function="0" vbProcedure="0">Function3!$E:$E</x:definedName>
    <x:definedName name="Z_6F1DCD5D_5DAC_4817_BF40_2B66F6F593E6__wvu_Cols" localSheetId="6" hidden="0" function="0" vbProcedure="0">Function3!$E:$E</x:definedName>
    <x:definedName name="Z_BE54E0AD_3725_4423_92D7_4F1C045BE1BC__wvu_Cols" localSheetId="6" hidden="0" function="0" vbProcedure="0">Function3!$E:$E</x:definedName>
  </x:definedNames>
</x:workbook>
</file>

<file path=xl/comments1.xml><?xml version="1.0" encoding="utf-8"?>
<x:comments xmlns:x="http://schemas.openxmlformats.org/spreadsheetml/2006/main">
  <x:authors>
    <x:author>Unknown Author</x:author>
  </x:authors>
  <x:commentList>
    <x:comment ref="D11" authorId="0">
      <x:text>
        <x:r>
          <x:t>*A: Add
  M: Modify
  D: Delete
</x:t>
        </x:r>
      </x:text>
    </x:comment>
  </x:commentList>
</x:comments>
</file>

<file path=xl/comments2.xml><?xml version="1.0" encoding="utf-8"?>
<x:comments xmlns:x="http://schemas.openxmlformats.org/spreadsheetml/2006/main">
  <x:authors>
    <x:author>Unknown Author</x:author>
  </x:authors>
  <x:commentList>
    <x:comment ref="A5" authorId="0">
      <x:text>
        <x:r>
          <x:t>Not mandatory
</x:t>
        </x:r>
      </x:text>
    </x:comment>
    <x:comment ref="C10" authorId="0">
      <x:text>
        <x:r>
          <x:t>Not mandatory</x:t>
        </x:r>
      </x:text>
    </x:comment>
  </x:commentList>
</x:comments>
</file>

<file path=xl/comments3.xml><?xml version="1.0" encoding="utf-8"?>
<x:comments xmlns:x="http://schemas.openxmlformats.org/spreadsheetml/2006/main">
  <x:authors>
    <x:author>Unknown Author</x:author>
  </x:authors>
  <x:commentList>
    <x:comment ref="A5" authorId="0">
      <x:text>
        <x:r>
          <x:t>
Not mandatory
</x:t>
        </x:r>
      </x:text>
    </x:comment>
    <x:comment ref="C10" authorId="0">
      <x:text>
        <x:r>
          <x:t>
Not mandatory</x:t>
        </x:r>
      </x:text>
    </x:comment>
  </x:commentList>
</x:comments>
</file>

<file path=xl/comments4.xml><?xml version="1.0" encoding="utf-8"?>
<x:comments xmlns:x="http://schemas.openxmlformats.org/spreadsheetml/2006/main">
  <x:authors>
    <x:author>Unknown Author</x:author>
  </x:authors>
  <x:commentList>
    <x:comment ref="A5" authorId="0">
      <x:text>
        <x:r>
          <x:t>
Not mandatory
</x:t>
        </x:r>
      </x:text>
    </x:comment>
    <x:comment ref="C10" authorId="0">
      <x:text>
        <x:r>
          <x:t>Not mandatory</x:t>
        </x:r>
      </x:text>
    </x:comment>
  </x:commentList>
</x:comments>
</file>

<file path=xl/comments5.xml><?xml version="1.0" encoding="utf-8"?>
<x:comments xmlns:x="http://schemas.openxmlformats.org/spreadsheetml/2006/main">
  <x:authors>
    <x:author>Unknown Author</x:author>
  </x:authors>
  <x:commentList>
    <x:comment ref="A5" authorId="0">
      <x:text>
        <x:r>
          <x:t>Not mandatory
</x:t>
        </x:r>
      </x:text>
    </x:comment>
    <x:comment ref="C10" authorId="0">
      <x:text>
        <x:r>
          <x:t>
Not mandatory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<x:sst xmlns:x="http://schemas.openxmlformats.org/spreadsheetml/2006/main">
  <x:si>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Guideline to make and understand Unit Test Case</x:t>
  </x:si>
  <x:si>
    <x:t xml:space="preserve">1. Overview</x:t>
  </x:si>
  <x:si>
    <x:t xml:space="preserve"> - In the template, Unit test cases are based on functions. Each sheet presents test cases for one function.</x:t>
  </x:si>
  <x:si>
    <x:r>
      <x:rPr>
        <x:sz val="10"/>
        <x:rFont val="Tahoma"/>
        <x:family val="2"/>
      </x:rPr>
      <x:t xml:space="preserve"> - </x:t>
    </x:r>
    <x:r>
      <x:rPr>
        <x:b/>
        <x:sz val="10"/>
        <x:rFont val="Tahoma"/>
        <x:family val="2"/>
      </x:rPr>
      <x:t xml:space="preserve">Cover</x:t>
    </x:r>
    <x:r>
      <x:rPr>
        <x:sz val="10"/>
        <x:rFont val="Tahoma"/>
        <x:family val="2"/>
      </x:rPr>
      <x:t xml:space="preserve">: General information of the project and Unit Test cases</x:t>
    </x:r>
  </x:si>
  <x:si>
    <x:r>
      <x:rPr>
        <x:sz val="10"/>
        <x:rFont val="Tahoma"/>
        <x:family val="2"/>
      </x:rPr>
      <x:t xml:space="preserve"> - </x:t>
    </x:r>
    <x:r>
      <x:rPr>
        <x:b/>
        <x:sz val="10"/>
        <x:rFont val="Tahoma"/>
        <x:family val="2"/>
      </x:rPr>
      <x:t xml:space="preserve">FunctionList</x:t>
    </x:r>
    <x:r>
      <x:rPr>
        <x:sz val="10"/>
        <x:rFont val="Tahoma"/>
        <x:family val="2"/>
      </x:rPr>
      <x:t xml:space="preserve">: The list of Classes and Functions in the document. 
     + To control that the number of Unit TC meets customer's requirement or the norm, user should fill value for  
     'Normal number of Test cases/KLOC'. </x:t>
    </x:r>
  </x:si>
  <x:si>
    <x:r>
      <x:rPr>
        <x:sz val="10"/>
        <x:rFont val="Tahoma"/>
        <x:family val="2"/>
      </x:rPr>
      <x:t xml:space="preserve">     + Click on Function link to open the related Test cases of the function.  
     </x:t>
    </x:r>
    <x:r>
      <x:rPr>
        <x:i/>
        <x:sz val="10"/>
        <x:rFont val="Tahoma"/>
        <x:family val="2"/>
      </x:rPr>
      <x:t xml:space="preserve">Note:</x:t>
    </x:r>
    <x:r>
      <x:rPr>
        <x:sz val="10"/>
        <x:rFont val="Tahoma"/>
        <x:family val="2"/>
      </x:rPr>
      <x:t xml:space="preserve"> You should create new Function sheet before creating the link</x:t>
    </x:r>
  </x:si>
  <x:si>
    <x:r>
      <x:rPr>
        <x:sz val="10"/>
        <x:rFont val="Tahoma"/>
        <x:family val="2"/>
      </x:rPr>
      <x:t xml:space="preserve"> - </x:t>
    </x:r>
    <x:r>
      <x:rPr>
        <x:b/>
        <x:sz val="10"/>
        <x:rFont val="Tahoma"/>
        <x:family val="2"/>
      </x:rPr>
      <x:t xml:space="preserve">Test Report</x:t>
    </x:r>
    <x:r>
      <x:rPr>
        <x:sz val="10"/>
        <x:rFont val="Tahoma"/>
        <x:family val="2"/>
      </x:rPr>
      <x:t xml:space="preserve">: provive the overview results of Functions Unit test: Test coverage, Test successful coverage 
    (Summary, for normal/abnormal/boundary cases)</x:t>
    </x:r>
  </x:si>
  <x:si>
    <x:t xml:space="preserve">     Note:  Should check the formula of "Sub Total" if you add more functions</x:t>
  </x:si>
  <x:si>
    <x:t xml:space="preserve">2. Content in Test function sheet</x:t>
  </x:si>
  <x:si>
    <x:t xml:space="preserve">2.1 Combination of test cases.</x:t>
  </x:si>
  <x:si>
    <x: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x:t>
  </x:si>
  <x:si>
    <x:t xml:space="preserve"> - If the number of Unit TC does not meet the requirement, creator should explain the reasons.</x:t>
  </x:si>
  <x:si>
    <x:t xml:space="preserve"> - If the number of  'Normal number test cases/KLOC' item in FunctionList sheet is not recorded, the number in 'Lack of test cases' is not calculated.</x:t>
  </x:si>
  <x:si>
    <x:t xml:space="preserve"> 2.2 Condition and confirmation of Test cases.</x:t>
  </x:si>
  <x:si>
    <x:t xml:space="preserve"> Each test case is the combination of condition and confirmation.</x:t>
  </x:si>
  <x:si>
    <x:t xml:space="preserve">a. Condition:</x:t>
  </x:si>
  <x:si>
    <x:t xml:space="preserve">        - Condition is combination of precondition and values of inputs.</x:t>
  </x:si>
  <x:si>
    <x:t xml:space="preserve">        - Precondition: it is setting condition that must exist before execution of the test case. 
                    Example: file A is precondition for the test case that needs to access file A.</x:t>
  </x:si>
  <x:si>
    <x:t xml:space="preserve">        - Values of inputs: it includes 3 types of values: normal, boundary and abnormal.</x:t>
  </x:si>
  <x:si>
    <x:t xml:space="preserve">                . Normal values are values of inputs used mainly and usually to ensure the function works.</x:t>
  </x:si>
  <x:si>
    <x:t xml:space="preserve">                . Boundary values are limited values that contain upper and lower values.</x:t>
  </x:si>
  <x:si>
    <x:t xml:space="preserve">                . Abnormal values are non-expected values. And normally it processes exception cases.   </x:t>
  </x:si>
  <x:si>
    <x:t xml:space="preserve"> </x:t>
  </x:si>
  <x:si>
    <x:t xml:space="preserve">        - For examples:</x:t>
  </x:si>
  <x:si>
    <x:t xml:space="preserve">            Input value belongs to 5&lt;= input &lt;=10.</x:t>
  </x:si>
  <x:si>
    <x:t xml:space="preserve">               . 6,7,8,9 are normal values.</x:t>
  </x:si>
  <x:si>
    <x:t xml:space="preserve">               . 5, 10 are boundary values.</x:t>
  </x:si>
  <x:si>
    <x:t xml:space="preserve">               . -1, 11,... are abnormal values.   </x:t>
  </x:si>
  <x:si>
    <x:t xml:space="preserve">b. Confirmation: </x:t>
  </x:si>
  <x:si>
    <x:t xml:space="preserve">        - It is combination of expected result to check output of each function. 
          If the results are the same with confirmation, the test case is passed, other case it is failed. </x:t>
  </x:si>
  <x:si>
    <x:t xml:space="preserve">        - Confirmation can include:</x:t>
  </x:si>
  <x:si>
    <x:t xml:space="preserve">                + Output result of the function.</x:t>
  </x:si>
  <x:si>
    <x:t xml:space="preserve">                + Output log messages in log file.</x:t>
  </x:si>
  <x:si>
    <x:t xml:space="preserve">                + Output screen message...</x:t>
  </x:si>
  <x:si>
    <x:t xml:space="preserve">c. Type of test cases and result:</x:t>
  </x:si>
  <x:si>
    <x:t xml:space="preserve">        - Type of test case: It includes normal, boundary and abnormal test cases. User selects the type based on the type of input data.</x:t>
  </x:si>
  <x:si>
    <x:r>
      <x:rPr>
        <x:sz val="10"/>
        <x:rFont val="Tahoma"/>
        <x:family val="2"/>
      </x:rPr>
      <x:t xml:space="preserve">        - Test case result: the actual output results comparing with the Confirmation.
                 </x:t>
    </x:r>
    <x:r>
      <x:rPr>
        <x:b/>
        <x:sz val="10"/>
        <x:rFont val="Tahoma"/>
        <x:family val="2"/>
      </x:rPr>
      <x:t xml:space="preserve">P</x:t>
    </x:r>
    <x:r>
      <x:rPr>
        <x:sz val="10"/>
        <x:rFont val="Tahoma"/>
        <x:family val="2"/>
      </x:rPr>
      <x:t xml:space="preserve"> for Passed and </x:t>
    </x:r>
    <x:r>
      <x:rPr>
        <x:b/>
        <x:sz val="10"/>
        <x:rFont val="Tahoma"/>
        <x:family val="2"/>
      </x:rPr>
      <x:t xml:space="preserve">F</x:t>
    </x:r>
    <x:r>
      <x:rPr>
        <x:sz val="10"/>
        <x:rFont val="Tahoma"/>
        <x:family val="2"/>
      </x:rPr>
      <x:t xml:space="preserve"> for Failed cases.
          It can 'OK' or 'NG' (it depends on habit of the teams or customers)</x:t>
    </x:r>
  </x:si>
  <x:si>
    <x:t xml:space="preserve"> 2.3. Other items:</x:t>
  </x:si>
  <x:si>
    <x:t xml:space="preserve"> - Function Code: it is ID of the function and updated automatically according to FunctionList sheet.</x:t>
  </x:si>
  <x:si>
    <x:t xml:space="preserve"> - Function Name: it is name  of the function and updated automatically according to FunctionList sheet.</x:t>
  </x:si>
  <x:si>
    <x:t xml:space="preserve"> - Created By: Name of creator.</x:t>
  </x:si>
  <x:si>
    <x:t xml:space="preserve"> - Executed By: Name of person who executes the unit test</x:t>
  </x:si>
  <x:si>
    <x:t xml:space="preserve"> - Lines of code: Number of Code line of the function.</x:t>
  </x:si>
  <x:si>
    <x:t xml:space="preserve"> - Test requirement: Brief description about requirements which are tested in this function, it is not mandatory.</x:t>
  </x:si>
  <x:si>
    <x:t xml:space="preserve">         </x:t>
  </x:si>
  <x:si>
    <x:t xml:space="preserve">UNIT TEST CASE</x:t>
  </x:si>
  <x:si>
    <x:t xml:space="preserve">Project Name</x:t>
  </x:si>
  <x:si>
    <x:t xml:space="preserve">Creator</x:t>
  </x:si>
  <x:si>
    <x:t xml:space="preserve">Project Code</x:t>
  </x:si>
  <x:si>
    <x:t xml:space="preserve">Reviewer/Approver</x:t>
  </x:si>
  <x:si>
    <x:t xml:space="preserve">Document Code</x:t>
  </x:si>
  <x:si>
    <x:t xml:space="preserve">Issue Date</x:t>
  </x:si>
  <x:si>
    <x:t xml:space="preserve">Version</x:t>
  </x:si>
  <x:si>
    <x:t xml:space="preserve">Record of change</x:t>
  </x:si>
  <x:si>
    <x:t xml:space="preserve">Effective Date</x:t>
  </x:si>
  <x:si>
    <x:t xml:space="preserve">Change Item</x:t>
  </x:si>
  <x:si>
    <x:t xml:space="preserve">*A,D,M</x:t>
  </x:si>
  <x:si>
    <x:t xml:space="preserve">Change description</x:t>
  </x:si>
  <x:si>
    <x:t xml:space="preserve">Reference</x:t>
  </x:si>
  <x:si>
    <x:t xml:space="preserve">UNIT TEST CASE LIST</x:t>
  </x:si>
  <x:si>
    <x:t xml:space="preserve">Normal number of Test cases/KLOC </x:t>
  </x:si>
  <x:si>
    <x:t xml:space="preserve">Test Environment Setup Description</x:t>
  </x:si>
  <x:si>
    <x:t xml:space="preserve">No</x:t>
  </x:si>
  <x:si>
    <x:t xml:space="preserve">Requirement
Name</x:t>
  </x:si>
  <x:si>
    <x:t xml:space="preserve">Class Name</x:t>
  </x:si>
  <x:si>
    <x:t xml:space="preserve">Function Name</x:t>
  </x:si>
  <x:si>
    <x:t xml:space="preserve"> Function Code(Optional)</x:t>
  </x:si>
  <x:si>
    <x:t xml:space="preserve">Sheet Name</x:t>
  </x:si>
  <x:si>
    <x:t xml:space="preserve">Description</x:t>
  </x:si>
  <x:si>
    <x:t xml:space="preserve">Pre-Condition</x:t>
  </x:si>
  <x:si>
    <x:t xml:space="preserve">UNIT TEST REPORT</x:t>
  </x:si>
  <x:si>
    <x:t xml:space="preserve">Notes</x:t>
  </x:si>
  <x:si>
    <x:t xml:space="preserve">Function code</x:t>
  </x:si>
  <x:si>
    <x:t xml:space="preserve">Passed</x:t>
  </x:si>
  <x:si>
    <x:t xml:space="preserve">Failed</x:t>
  </x:si>
  <x:si>
    <x:t xml:space="preserve">Untested</x:t>
  </x:si>
  <x:si>
    <x:t xml:space="preserve">N</x:t>
  </x:si>
  <x:si>
    <x:t xml:space="preserve">A</x:t>
  </x:si>
  <x:si>
    <x:t xml:space="preserve">B</x:t>
  </x:si>
  <x:si>
    <x:t xml:space="preserve">Total Test Cases</x:t>
  </x:si>
  <x:si>
    <x:t xml:space="preserve">Function Code</x:t>
  </x:si>
  <x:si>
    <x:t xml:space="preserve">Created By</x:t>
  </x:si>
  <x:si>
    <x:t xml:space="preserve">Lines  of code</x:t>
  </x:si>
  <x:si>
    <x:t xml:space="preserve">Test requirement</x:t>
  </x:si>
  <x:si>
    <x:t xml:space="preserve">Condition</x:t>
  </x:si>
  <x:si>
    <x:t xml:space="preserve">&lt;Developer Name&gt;</x:t>
  </x:si>
  <x:si>
    <x:t xml:space="preserve">Executed By</x:t>
  </x:si>
  <x:si>
    <x:t xml:space="preserve">Lack of test cases</x:t>
  </x:si>
  <x:si>
    <x:t xml:space="preserve">&lt;Brief description about requirements which are tested in this function&gt;</x:t>
  </x:si>
  <x:si>
    <x:t xml:space="preserve">N/A/B</x:t>
  </x:si>
  <x:si>
    <x:t xml:space="preserve">UTCID01</x:t>
  </x:si>
  <x:si>
    <x:t xml:space="preserve">UTCID02</x:t>
  </x:si>
  <x:si>
    <x:t xml:space="preserve">UTCID07</x:t>
  </x:si>
  <x:si>
    <x:t xml:space="preserve">UTCID08</x:t>
  </x:si>
  <x:si>
    <x:t xml:space="preserve">UTCID09</x:t>
  </x:si>
  <x:si>
    <x:t xml:space="preserve">UTCID10</x:t>
  </x:si>
  <x:si>
    <x:t xml:space="preserve">UTCID11</x:t>
  </x:si>
  <x:si>
    <x:t xml:space="preserve">UTCID12</x:t>
  </x:si>
  <x:si>
    <x:t xml:space="preserve">UTCID13</x:t>
  </x:si>
  <x:si>
    <x:t xml:space="preserve">UTCID14</x:t>
  </x:si>
  <x:si>
    <x:t xml:space="preserve">UTCID15</x:t>
  </x:si>
  <x:si>
    <x:t xml:space="preserve">Precondition </x:t>
  </x:si>
  <x:si>
    <x:t xml:space="preserve">a</x:t>
  </x:si>
  <x:si>
    <x:t xml:space="preserve">O</x:t>
  </x:si>
  <x:si>
    <x:t xml:space="preserve">b</x:t>
  </x:si>
  <x:si>
    <x:t xml:space="preserve">c</x:t>
  </x:si>
  <x:si>
    <x:t xml:space="preserve">Confirm</x:t>
  </x:si>
  <x:si>
    <x:t xml:space="preserve">Return</x:t>
  </x:si>
  <x:si>
    <x:t xml:space="preserve">list </x:t>
  </x:si>
  <x:si>
    <x:t xml:space="preserve">null</x:t>
  </x:si>
  <x:si>
    <x:t xml:space="preserve">size = 0</x:t>
  </x:si>
  <x:si>
    <x:t xml:space="preserve">{-1/2}</x:t>
  </x:si>
  <x:si>
    <x:t xml:space="preserve">{1,1}</x:t>
  </x:si>
  <x:si>
    <x:t xml:space="preserve">{1,-3}</x:t>
  </x:si>
  <x:si>
    <x:t xml:space="preserve">Exception</x:t>
  </x:si>
  <x:si>
    <x:t xml:space="preserve">Log message</x:t>
  </x:si>
  <x:si>
    <x:t xml:space="preserve">"please input a&gt;= -1"</x:t>
  </x:si>
  <x:si>
    <x:t xml:space="preserve">Result</x:t>
  </x:si>
  <x:si>
    <x:t xml:space="preserve">Type(N : Normal, A : Abnormal, B : Boundary)</x:t>
  </x:si>
  <x:si>
    <x:t xml:space="preserve">Passed/Failed</x:t>
  </x:si>
  <x:si>
    <x:t xml:space="preserve">Executed Date</x:t>
  </x:si>
  <x:si>
    <x:t xml:space="preserve">Defect ID</x:t>
  </x:si>
</x:sst>
</file>

<file path=xl/styles.xml><?xml version="1.0" encoding="utf-8"?>
<x:styleSheet xmlns:x="http://schemas.openxmlformats.org/spreadsheetml/2006/main">
  <x:numFmts count="11">
    <x:numFmt numFmtId="164" formatCode="General"/>
    <x:numFmt numFmtId="165" formatCode="d\-mmm\-yy;@"/>
    <x:numFmt numFmtId="166" formatCode="@"/>
    <x:numFmt numFmtId="167" formatCode="[$-409]d\-mmm\-yy"/>
    <x:numFmt numFmtId="168" formatCode="0"/>
    <x:numFmt numFmtId="169" formatCode="[$-409]m/d/yyyy"/>
    <x:numFmt numFmtId="170" formatCode="0.00%"/>
    <x:numFmt numFmtId="171" formatCode="0%"/>
    <x:numFmt numFmtId="172" formatCode="0.00"/>
    <x:numFmt numFmtId="173" formatCode="mm/dd"/>
    <x:numFmt numFmtId="200" formatCode="dd/mm/yyyy"/>
  </x:numFmts>
  <x:fonts count="42">
    <x:font>
      <x:sz val="11"/>
      <x:name val="ＭＳ Ｐゴシック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9"/>
      <x:name val="ＭＳ ゴシック"/>
    </x:font>
    <x:font>
      <x:sz val="11"/>
      <x:name val="Tahoma"/>
    </x:font>
    <x:font>
      <x:b/>
      <x:sz val="18"/>
      <x:name val="Tahoma"/>
    </x:font>
    <x:font>
      <x:b/>
      <x:sz val="12"/>
      <x:name val="Tahoma"/>
    </x:font>
    <x:font>
      <x:sz val="10"/>
      <x:name val="Tahoma"/>
    </x:font>
    <x:font>
      <x:b/>
      <x:sz val="10"/>
      <x:name val="Tahoma"/>
    </x:font>
    <x:font>
      <x:i/>
      <x:sz val="10"/>
      <x:name val="Tahoma"/>
    </x:font>
    <x:font>
      <x:sz val="10"/>
      <x:name val="Tahoma"/>
    </x:font>
    <x:font>
      <x:b/>
      <x:sz val="26"/>
      <x:color rgb="FFFF0000"/>
      <x:name val="Tahoma"/>
    </x:font>
    <x:font>
      <x:b/>
      <x:sz val="20"/>
      <x:color rgb="FF000000"/>
      <x:name val="Tahoma"/>
    </x:font>
    <x:font>
      <x:b/>
      <x:sz val="10"/>
      <x:color rgb="FF993300"/>
      <x:name val="Tahoma"/>
    </x:font>
    <x:font>
      <x:i/>
      <x:sz val="10"/>
      <x:color rgb="FF008000"/>
      <x:name val="Tahoma"/>
    </x:font>
    <x:font>
      <x:b/>
      <x:sz val="10"/>
      <x:color rgb="FFFFFFFF"/>
      <x:name val="Tahoma"/>
    </x:font>
    <x:font>
      <x:b/>
      <x:sz val="8"/>
      <x:color rgb="FF000000"/>
      <x:name val="Tahoma"/>
    </x:font>
    <x:font>
      <x:sz val="8"/>
      <x:color rgb="FF000000"/>
      <x:name val="Tahoma"/>
    </x:font>
    <x:font>
      <x:b/>
      <x:sz val="10"/>
      <x:color rgb="FF000000"/>
      <x:name val="Tahoma"/>
    </x:font>
    <x:font>
      <x:b/>
      <x:sz val="10"/>
      <x:color rgb="FFFF0000"/>
      <x:name val="Tahoma"/>
    </x:font>
    <x:font>
      <x:sz val="10"/>
      <x:color rgb="FF0000FF"/>
      <x:name val="Tahoma"/>
    </x:font>
    <x:font>
      <x:sz val="11"/>
      <x:color rgb="FF0000FF"/>
      <x:name val="ＭＳ Ｐゴシック"/>
    </x:font>
    <x:font>
      <x:sz val="11"/>
      <x:color rgb="FF0000FF"/>
      <x:name val="Tahoma"/>
    </x:font>
    <x:font>
      <x:sz val="10"/>
      <x:color rgb="FFFFFFFF"/>
      <x:name val="Tahoma"/>
    </x:font>
    <x:font>
      <x:b/>
      <x:sz val="11"/>
      <x:color rgb="FFFFFFFF"/>
      <x:name val="Tahoma"/>
    </x:font>
    <x:font>
      <x:sz val="10"/>
      <x:color rgb="FF000000"/>
      <x:name val="Tahoma"/>
    </x:font>
    <x:font>
      <x:b/>
      <x:sz val="9"/>
      <x:color rgb="FF000000"/>
      <x:name val="ＭＳ Ｐゴシック"/>
    </x:font>
    <x:font>
      <x:sz val="9"/>
      <x:color rgb="FF000000"/>
      <x:name val="ＭＳ Ｐゴシック"/>
    </x:font>
    <x:font>
      <x:sz val="7"/>
      <x:color rgb="FF000000"/>
      <x:name val="ＭＳ Ｐゴシック"/>
    </x:font>
    <x:font>
      <x:b/>
      <x:sz val="11"/>
      <x:color rgb="FF000000"/>
      <x:name val="ＭＳ Ｐゴシック"/>
    </x:font>
    <x:font>
      <x:sz val="11"/>
      <x:color rgb="FF000000"/>
      <x:name val="ＭＳ Ｐゴシック"/>
    </x:font>
    <x:font>
      <x:sz val="9"/>
      <x:color rgb="FF000000"/>
      <x:name val="ＭＳ Ｐゴシック"/>
    </x:font>
    <x:font>
      <x:sz val="8"/>
      <x:name val="Tahoma"/>
    </x:font>
    <x:font>
      <x:b/>
      <x:sz val="8"/>
      <x:name val="Tahoma"/>
    </x:font>
    <x:font>
      <x:i/>
      <x:sz val="8"/>
      <x:name val="Tahoma"/>
    </x:font>
    <x:font>
      <x:b/>
      <x:sz val="8"/>
      <x:color rgb="FFFFFFFF"/>
      <x:name val="Tahoma"/>
    </x:font>
    <x:font>
      <x:sz val="8"/>
      <x:color rgb="FFFFFFFF"/>
      <x:name val="Tahoma"/>
    </x:font>
    <x:font>
      <x:sz val="8"/>
      <x:color rgb="FF008000"/>
      <x:name val="Tahoma"/>
    </x:font>
    <x:font>
      <x:b/>
      <x:sz val="12"/>
      <x:name val="Courier New"/>
    </x:font>
    <x:font>
      <x:b/>
      <x:sz val="8"/>
      <x:name val="Courier New"/>
    </x:font>
    <x:font>
      <x:sz val="8"/>
      <x:name val="Courier New"/>
    </x:font>
  </x:fonts>
  <x:fills count="7">
    <x:fill>
      <x:patternFill patternType="none"/>
    </x:fill>
    <x:fill>
      <x:patternFill patternType="gray125"/>
    </x:fill>
    <x:fill>
      <x:patternFill patternType="solid">
        <x:fgColor rgb="FFCCFFCC"/>
      </x:patternFill>
    </x:fill>
    <x:fill>
      <x:patternFill patternType="solid">
        <x:fgColor rgb="FFFFFFFF"/>
      </x:patternFill>
    </x:fill>
    <x:fill>
      <x:patternFill patternType="solid">
        <x:fgColor rgb="FF000080"/>
      </x:patternFill>
    </x:fill>
    <x:fill>
      <x:patternFill patternType="solid">
        <x:fgColor rgb="FF333399"/>
      </x:patternFill>
    </x:fill>
    <x:fill>
      <x:patternFill patternType="solid">
        <x:fgColor rgb="FFFF9900"/>
      </x:patternFill>
    </x:fill>
  </x:fills>
  <x:borders count="134">
    <x:border diagonalUp="0" diagonalDown="0"/>
    <x:border diagonalUp="0" diagonalDown="0">
      <x:lef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right style="hair"/>
      <x:top style="thin"/>
      <x:bottom style="hair"/>
    </x:border>
    <x:border diagonalUp="0" diagonalDown="0">
      <x:left style="hair"/>
      <x:right style="hair"/>
      <x:top style="thin"/>
      <x:bottom style="hair"/>
    </x:border>
    <x:border diagonalUp="0" diagonalDown="0">
      <x:left style="hair"/>
      <x:right style="thin"/>
      <x:top style="thin"/>
      <x:bottom style="hair"/>
    </x:border>
    <x:border diagonalUp="0" diagonalDown="0">
      <x:left style="thin"/>
      <x:right style="hair"/>
      <x:top style="hair"/>
      <x:bottom style="hair"/>
    </x:border>
    <x:border diagonalUp="0" diagonalDown="0">
      <x:left style="hair"/>
      <x:right style="hair"/>
      <x:top style="hair"/>
      <x:bottom style="hair"/>
    </x:border>
    <x:border diagonalUp="0" diagonalDown="0">
      <x:left style="hair"/>
      <x:right style="thin"/>
      <x:top style="hair"/>
      <x:bottom style="hair"/>
    </x:border>
    <x:border diagonalUp="0" diagonalDown="0">
      <x:left style="thin"/>
      <x:right style="hair"/>
      <x:top style="hair"/>
      <x:bottom style="thin"/>
    </x:border>
    <x:border diagonalUp="0" diagonalDown="0">
      <x:left style="hair"/>
      <x:right style="hair"/>
      <x:top style="hair"/>
      <x:bottom style="thin"/>
    </x:border>
    <x:border diagonalUp="0" diagonalDown="0">
      <x:left style="hair"/>
      <x:right style="thin"/>
      <x:top style="hair"/>
      <x:bottom style="thin"/>
    </x:border>
    <x:border diagonalUp="0" diagonalDown="0">
      <x:top style="thin"/>
      <x:bottom style="thin"/>
    </x:border>
    <x:border diagonalUp="0" diagonalDown="0">
      <x:right style="hair"/>
      <x:top style="thin"/>
      <x:bottom style="hair"/>
    </x:border>
    <x:border diagonalUp="0" diagonalDown="0">
      <x:left style="hair"/>
      <x:top style="thin"/>
      <x:bottom style="hair"/>
    </x:border>
    <x:border diagonalUp="0" diagonalDown="0">
      <x:right style="hair"/>
      <x:top style="hair"/>
      <x:bottom style="hair"/>
    </x:border>
    <x:border diagonalUp="0" diagonalDown="0">
      <x:right style="hair"/>
      <x:top style="hair"/>
      <x:bottom style="thin"/>
    </x:border>
    <x:border diagonalUp="0" diagonalDown="0">
      <x:left style="hair"/>
      <x:right style="medium"/>
      <x:top style="thin"/>
      <x:bottom style="hair"/>
    </x:border>
    <x:border diagonalUp="0" diagonalDown="0">
      <x:left style="hair"/>
      <x:right style="hair"/>
      <x:bottom style="hair"/>
    </x:border>
    <x:border diagonalUp="0" diagonalDown="0">
      <x:bottom style="medium"/>
    </x:border>
    <x:border diagonalUp="0" diagonalDown="0">
      <x:left style="medium"/>
      <x:top style="medium"/>
      <x:bottom style="thin"/>
    </x:border>
    <x:border diagonalUp="0" diagonalDown="0">
      <x:left style="thin"/>
      <x:right style="thin"/>
      <x:top style="medium"/>
      <x:bottom style="thin"/>
    </x:border>
    <x:border diagonalUp="0" diagonalDown="0">
      <x:left style="thin"/>
      <x:top style="medium"/>
    </x:border>
    <x:border diagonalUp="0" diagonalDown="0">
      <x:left style="thin"/>
      <x:right style="medium"/>
      <x:top style="medium"/>
      <x:bottom style="thin"/>
    </x:border>
    <x:border diagonalUp="0" diagonalDown="0">
      <x:left style="medium"/>
      <x:right style="thin"/>
      <x:top style="thin"/>
      <x:bottom style="thin"/>
    </x:border>
    <x:border diagonalUp="0" diagonalDown="0">
      <x:left style="thin"/>
      <x:right style="thin"/>
      <x:bottom style="thin"/>
    </x:border>
    <x:border diagonalUp="0" diagonalDown="0">
      <x:bottom style="thin"/>
    </x:border>
    <x:border diagonalUp="0" diagonalDown="0">
      <x:right style="medium"/>
      <x:bottom style="thin"/>
    </x:border>
    <x:border diagonalUp="0" diagonalDown="0">
      <x:left style="thin"/>
      <x:right style="medium"/>
      <x:top style="thin"/>
      <x:bottom style="thin"/>
    </x:border>
    <x:border diagonalUp="0" diagonalDown="0">
      <x:left style="medium"/>
      <x:right style="thin"/>
      <x:top style="thin"/>
      <x:bottom style="medium"/>
    </x:border>
    <x:border diagonalUp="0" diagonalDown="0">
      <x:left style="thin"/>
      <x:right style="thin"/>
      <x:top style="thin"/>
      <x:bottom style="medium"/>
    </x:border>
    <x:border diagonalUp="0" diagonalDown="0">
      <x:left style="thin"/>
      <x:top style="thin"/>
      <x:bottom style="medium"/>
    </x:border>
    <x:border diagonalUp="0" diagonalDown="0">
      <x:left style="thin"/>
      <x:right style="medium"/>
      <x:top style="thin"/>
      <x:bottom style="medium"/>
    </x:border>
    <x:border diagonalUp="0" diagonalDown="0">
      <x:left style="medium"/>
    </x:border>
    <x:border diagonalUp="0" diagonalDown="0">
      <x:left style="double"/>
      <x:right style="hair"/>
      <x:top style="double"/>
      <x:bottom style="medium">
        <x:color rgb="FFFFFFFF"/>
      </x:bottom>
    </x:border>
    <x:border diagonalUp="0" diagonalDown="0">
      <x:top style="double"/>
      <x:bottom style="medium">
        <x:color rgb="FFFFFFFF"/>
      </x:bottom>
    </x:border>
    <x:border diagonalUp="0" diagonalDown="0">
      <x:right style="double"/>
      <x:top style="double"/>
      <x:bottom style="medium">
        <x:color rgb="FFFFFFFF"/>
      </x:bottom>
    </x:border>
    <x:border diagonalUp="0" diagonalDown="0">
      <x:left style="double"/>
      <x:right style="thin"/>
      <x:top style="medium">
        <x:color rgb="FFFFFFFF"/>
      </x:top>
    </x:border>
    <x:border diagonalUp="0" diagonalDown="0">
      <x:left style="thin"/>
      <x:bottom style="thin"/>
    </x:border>
    <x:border diagonalUp="0" diagonalDown="0">
      <x:right style="thin"/>
      <x:bottom style="thin"/>
    </x:border>
    <x:border diagonalUp="0" diagonalDown="0">
      <x:left style="thin"/>
      <x:right style="double"/>
      <x:bottom style="thin"/>
    </x:border>
    <x:border diagonalUp="0" diagonalDown="0">
      <x:left style="double"/>
      <x:right style="thin"/>
    </x:border>
    <x:border diagonalUp="0" diagonalDown="0">
      <x:left style="thin"/>
      <x:right style="double"/>
      <x:top style="thin"/>
      <x:bottom style="thin"/>
    </x:border>
    <x:border diagonalUp="0" diagonalDown="0">
      <x:left style="thin"/>
      <x:top style="thin"/>
      <x:bottom style="double"/>
    </x:border>
    <x:border diagonalUp="0" diagonalDown="0">
      <x:top style="thin"/>
      <x:bottom style="double"/>
    </x:border>
    <x:border diagonalUp="0" diagonalDown="0">
      <x:right style="thin"/>
      <x:top style="thin"/>
      <x:bottom style="double"/>
    </x:border>
    <x:border diagonalUp="0" diagonalDown="0">
      <x:bottom style="double"/>
    </x:border>
    <x:border diagonalUp="0" diagonalDown="0">
      <x:left style="thin"/>
      <x:right style="thin"/>
      <x:top style="thin"/>
      <x:bottom style="double"/>
    </x:border>
    <x:border diagonalUp="0" diagonalDown="0">
      <x:left style="thin"/>
      <x:right style="double"/>
      <x:top style="thin"/>
      <x:bottom style="double"/>
    </x:border>
    <x:border diagonalUp="0" diagonalDown="0">
      <x:left style="thin"/>
      <x:top style="thin"/>
    </x:border>
    <x:border diagonalUp="0" diagonalDown="0">
      <x:top style="thin"/>
    </x:border>
    <x:border diagonalUp="0" diagonalDown="0">
      <x:right style="thin"/>
      <x:top style="thin"/>
    </x:border>
    <x:border diagonalUp="0" diagonalDown="0">
      <x:left style="thin"/>
      <x:right style="thin"/>
      <x:top style="thin"/>
    </x:border>
    <x:border diagonalUp="0" diagonalDown="0">
      <x:left style="thin"/>
      <x:right style="double"/>
      <x:top style="thin"/>
    </x:border>
    <x:border diagonalUp="0" diagonalDown="0">
      <x:left style="thin"/>
      <x:right style="thin"/>
      <x:top style="double"/>
      <x:bottom style="thin"/>
    </x:border>
    <x:border diagonalUp="0" diagonalDown="0">
      <x:left style="thin"/>
      <x:right style="double"/>
      <x:top style="double"/>
      <x:bottom style="thin"/>
    </x:border>
    <x:border diagonalUp="0" diagonalDown="0">
      <x:left style="double"/>
      <x:right style="thin"/>
      <x:bottom style="double"/>
    </x:border>
    <x:border diagonalUp="0" diagonalDown="0">
      <x:left style="medium"/>
      <x:right style="thin"/>
      <x:top style="medium"/>
      <x:bottom style="thin"/>
    </x:border>
    <x:border diagonalUp="0" diagonalDown="0">
      <x:left style="medium"/>
      <x:right style="thin"/>
      <x:bottom style="thin"/>
    </x:border>
    <x:border diagonalUp="0" diagonalDown="0">
      <x:left style="double"/>
      <x:top style="double"/>
    </x:border>
    <x:border diagonalUp="0" diagonalDown="0">
      <x:top style="double"/>
      <x:bottom style="thin"/>
    </x:border>
    <x:border diagonalUp="0" diagonalDown="0">
      <x:right style="double"/>
      <x:top style="double"/>
      <x:bottom style="thin"/>
    </x:border>
    <x:border diagonalUp="0" diagonalDown="0">
      <x:top style="double"/>
    </x:border>
    <x:border diagonalUp="0" diagonalDown="0">
      <x:right style="double"/>
      <x:top style="double"/>
    </x:border>
    <x:border diagonalUp="0" diagonalDown="0">
      <x:left style="double"/>
    </x:border>
    <x:border diagonalUp="0" diagonalDown="0">
      <x:left style="double"/>
      <x:bottom style="double"/>
    </x:border>
    <x:border diagonalUp="0" diagonalDown="0"/>
    <x:border diagonalUp="0" diagonalDown="0">
      <x:lef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right style="hair"/>
      <x:top style="thin"/>
      <x:bottom style="hair"/>
    </x:border>
    <x:border diagonalUp="0" diagonalDown="0">
      <x:left style="hair"/>
      <x:right style="hair"/>
      <x:top style="thin"/>
      <x:bottom style="hair"/>
    </x:border>
    <x:border diagonalUp="0" diagonalDown="0">
      <x:left style="hair"/>
      <x:right style="thin"/>
      <x:top style="thin"/>
      <x:bottom style="hair"/>
    </x:border>
    <x:border diagonalUp="0" diagonalDown="0">
      <x:left style="thin"/>
      <x:right style="hair"/>
      <x:top style="hair"/>
      <x:bottom style="hair"/>
    </x:border>
    <x:border diagonalUp="0" diagonalDown="0">
      <x:left style="hair"/>
      <x:right style="hair"/>
      <x:top style="hair"/>
      <x:bottom style="hair"/>
    </x:border>
    <x:border diagonalUp="0" diagonalDown="0">
      <x:left style="hair"/>
      <x:right style="thin"/>
      <x:top style="hair"/>
      <x:bottom style="hair"/>
    </x:border>
    <x:border diagonalUp="0" diagonalDown="0">
      <x:left style="thin"/>
      <x:right style="hair"/>
      <x:top style="hair"/>
      <x:bottom style="thin"/>
    </x:border>
    <x:border diagonalUp="0" diagonalDown="0">
      <x:left style="hair"/>
      <x:right style="hair"/>
      <x:top style="hair"/>
      <x:bottom style="thin"/>
    </x:border>
    <x:border diagonalUp="0" diagonalDown="0">
      <x:left style="hair"/>
      <x:right style="thin"/>
      <x:top style="hair"/>
      <x:bottom style="thin"/>
    </x:border>
    <x:border diagonalUp="0" diagonalDown="0">
      <x:top style="thin"/>
      <x:bottom style="thin"/>
    </x:border>
    <x:border diagonalUp="0" diagonalDown="0">
      <x:right style="hair"/>
      <x:top style="thin"/>
      <x:bottom style="hair"/>
    </x:border>
    <x:border diagonalUp="0" diagonalDown="0">
      <x:left style="hair"/>
      <x:top style="thin"/>
      <x:bottom style="hair"/>
    </x:border>
    <x:border diagonalUp="0" diagonalDown="0">
      <x:right style="hair"/>
      <x:top style="hair"/>
      <x:bottom style="hair"/>
    </x:border>
    <x:border diagonalUp="0" diagonalDown="0">
      <x:right style="hair"/>
      <x:top style="hair"/>
      <x:bottom style="thin"/>
    </x:border>
    <x:border diagonalUp="0" diagonalDown="0">
      <x:left style="hair"/>
      <x:right style="medium"/>
      <x:top style="thin"/>
      <x:bottom style="hair"/>
    </x:border>
    <x:border diagonalUp="0" diagonalDown="0">
      <x:left style="hair"/>
      <x:right style="hair"/>
      <x:bottom style="hair"/>
    </x:border>
    <x:border diagonalUp="0" diagonalDown="0">
      <x:bottom style="medium"/>
    </x:border>
    <x:border diagonalUp="0" diagonalDown="0">
      <x:left style="medium"/>
      <x:top style="medium"/>
      <x:bottom style="thin"/>
    </x:border>
    <x:border diagonalUp="0" diagonalDown="0">
      <x:left style="thin"/>
      <x:right style="thin"/>
      <x:top style="medium"/>
      <x:bottom style="thin"/>
    </x:border>
    <x:border diagonalUp="0" diagonalDown="0">
      <x:left style="thin"/>
      <x:top style="medium"/>
    </x:border>
    <x:border diagonalUp="0" diagonalDown="0">
      <x:left style="thin"/>
      <x:right style="medium"/>
      <x:top style="medium"/>
      <x:bottom style="thin"/>
    </x:border>
    <x:border diagonalUp="0" diagonalDown="0">
      <x:left style="medium"/>
      <x:right style="thin"/>
      <x:top style="thin"/>
      <x:bottom style="thin"/>
    </x:border>
    <x:border diagonalUp="0" diagonalDown="0">
      <x:left style="thin"/>
      <x:right style="thin"/>
      <x:bottom style="thin"/>
    </x:border>
    <x:border diagonalUp="0" diagonalDown="0">
      <x:bottom style="thin"/>
    </x:border>
    <x:border diagonalUp="0" diagonalDown="0">
      <x:right style="medium"/>
      <x:bottom style="thin"/>
    </x:border>
    <x:border diagonalUp="0" diagonalDown="0">
      <x:left style="thin"/>
      <x:right style="medium"/>
      <x:top style="thin"/>
      <x:bottom style="thin"/>
    </x:border>
    <x:border diagonalUp="0" diagonalDown="0">
      <x:left style="medium"/>
      <x:right style="thin"/>
      <x:top style="thin"/>
      <x:bottom style="medium"/>
    </x:border>
    <x:border diagonalUp="0" diagonalDown="0">
      <x:left style="thin"/>
      <x:right style="thin"/>
      <x:top style="thin"/>
      <x:bottom style="medium"/>
    </x:border>
    <x:border diagonalUp="0" diagonalDown="0">
      <x:left style="thin"/>
      <x:top style="thin"/>
      <x:bottom style="medium"/>
    </x:border>
    <x:border diagonalUp="0" diagonalDown="0">
      <x:left style="thin"/>
      <x:right style="medium"/>
      <x:top style="thin"/>
      <x:bottom style="medium"/>
    </x:border>
    <x:border diagonalUp="0" diagonalDown="0">
      <x:left style="medium"/>
    </x:border>
    <x:border diagonalUp="0" diagonalDown="0">
      <x:left style="double"/>
      <x:right style="hair"/>
      <x:top style="double"/>
      <x:bottom style="medium">
        <x:color rgb="FFFFFFFF"/>
      </x:bottom>
    </x:border>
    <x:border diagonalUp="0" diagonalDown="0">
      <x:top style="double"/>
      <x:bottom style="medium">
        <x:color rgb="FFFFFFFF"/>
      </x:bottom>
    </x:border>
    <x:border diagonalUp="0" diagonalDown="0">
      <x:right style="double"/>
      <x:top style="double"/>
      <x:bottom style="medium">
        <x:color rgb="FFFFFFFF"/>
      </x:bottom>
    </x:border>
    <x:border diagonalUp="0" diagonalDown="0">
      <x:left style="double"/>
      <x:right style="thin"/>
      <x:top style="medium">
        <x:color rgb="FFFFFFFF"/>
      </x:top>
    </x:border>
    <x:border diagonalUp="0" diagonalDown="0">
      <x:left style="thin"/>
      <x:bottom style="thin"/>
    </x:border>
    <x:border diagonalUp="0" diagonalDown="0">
      <x:right style="thin"/>
      <x:bottom style="thin"/>
    </x:border>
    <x:border diagonalUp="0" diagonalDown="0">
      <x:left style="thin"/>
      <x:right style="double"/>
      <x:bottom style="thin"/>
    </x:border>
    <x:border diagonalUp="0" diagonalDown="0">
      <x:left style="double"/>
      <x:right style="thin"/>
    </x:border>
    <x:border diagonalUp="0" diagonalDown="0">
      <x:left style="thin"/>
      <x:right style="double"/>
      <x:top style="thin"/>
      <x:bottom style="thin"/>
    </x:border>
    <x:border diagonalUp="0" diagonalDown="0">
      <x:left style="thin"/>
      <x:top style="thin"/>
      <x:bottom style="double"/>
    </x:border>
    <x:border diagonalUp="0" diagonalDown="0">
      <x:top style="thin"/>
      <x:bottom style="double"/>
    </x:border>
    <x:border diagonalUp="0" diagonalDown="0">
      <x:right style="thin"/>
      <x:top style="thin"/>
      <x:bottom style="double"/>
    </x:border>
    <x:border diagonalUp="0" diagonalDown="0">
      <x:bottom style="double"/>
    </x:border>
    <x:border diagonalUp="0" diagonalDown="0">
      <x:left style="thin"/>
      <x:right style="thin"/>
      <x:top style="thin"/>
      <x:bottom style="double"/>
    </x:border>
    <x:border diagonalUp="0" diagonalDown="0">
      <x:left style="thin"/>
      <x:right style="double"/>
      <x:top style="thin"/>
      <x:bottom style="double"/>
    </x:border>
    <x:border diagonalUp="0" diagonalDown="0">
      <x:left style="thin"/>
      <x:top style="thin"/>
    </x:border>
    <x:border diagonalUp="0" diagonalDown="0">
      <x:top style="thin"/>
    </x:border>
    <x:border diagonalUp="0" diagonalDown="0">
      <x:right style="thin"/>
      <x:top style="thin"/>
    </x:border>
    <x:border diagonalUp="0" diagonalDown="0">
      <x:left style="thin"/>
      <x:right style="thin"/>
      <x:top style="thin"/>
    </x:border>
    <x:border diagonalUp="0" diagonalDown="0">
      <x:left style="thin"/>
      <x:right style="double"/>
      <x:top style="thin"/>
    </x:border>
    <x:border diagonalUp="0" diagonalDown="0">
      <x:left style="thin"/>
      <x:right style="thin"/>
      <x:top style="double"/>
      <x:bottom style="thin"/>
    </x:border>
    <x:border diagonalUp="0" diagonalDown="0">
      <x:left style="thin"/>
      <x:right style="double"/>
      <x:top style="double"/>
      <x:bottom style="thin"/>
    </x:border>
    <x:border diagonalUp="0" diagonalDown="0">
      <x:left style="double"/>
      <x:right style="thin"/>
      <x:bottom style="double"/>
    </x:border>
    <x:border diagonalUp="0" diagonalDown="0">
      <x:left style="medium"/>
      <x:right style="thin"/>
      <x:top style="medium"/>
      <x:bottom style="thin"/>
    </x:border>
    <x:border diagonalUp="0" diagonalDown="0">
      <x:left style="medium"/>
      <x:right style="thin"/>
      <x:bottom style="thin"/>
    </x:border>
    <x:border diagonalUp="0" diagonalDown="0">
      <x:left style="double"/>
      <x:top style="double"/>
    </x:border>
    <x:border diagonalUp="0" diagonalDown="0">
      <x:top style="double"/>
      <x:bottom style="thin"/>
    </x:border>
    <x:border diagonalUp="0" diagonalDown="0">
      <x:right style="double"/>
      <x:top style="double"/>
      <x:bottom style="thin"/>
    </x:border>
    <x:border diagonalUp="0" diagonalDown="0">
      <x:top style="double"/>
    </x:border>
    <x:border diagonalUp="0" diagonalDown="0">
      <x:right style="double"/>
      <x:top style="double"/>
    </x:border>
    <x:border diagonalUp="0" diagonalDown="0">
      <x:left style="double"/>
    </x:border>
    <x:border diagonalUp="0" diagonalDown="0">
      <x:left style="double"/>
      <x:bottom style="double"/>
    </x:border>
  </x:borders>
  <x:cellStyleXfs count="27">
    <x:xf numFmtId="164" fontId="0" fillId="0" borderId="0" applyFont="1" applyBorder="1" applyAlignment="1" applyProtection="1">
      <x:alignment horizontal="general" vertical="center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22" fillId="0" borderId="0" applyFont="1" applyBorder="0" applyAlignment="1" applyProtection="0">
      <x:alignment horizontal="general" vertical="center" wrapText="0" shrinkToFit="0"/>
    </x:xf>
    <x:xf numFmtId="164" fontId="0" fillId="0" borderId="0" applyFont="1" applyBorder="1" applyAlignment="1" applyProtection="1">
      <x:alignment horizontal="general" vertical="bottom" wrapText="0" shrinkToFit="0"/>
    </x:xf>
    <x:xf numFmtId="164" fontId="0" fillId="0" borderId="0" applyFont="1" applyBorder="1" applyAlignment="1" applyProtection="1">
      <x:alignment horizontal="general" vertical="bottom" wrapText="0" shrinkToFit="0"/>
    </x:xf>
    <x:xf numFmtId="164" fontId="0" fillId="0" borderId="0" applyFont="1" applyBorder="1" applyAlignment="1" applyProtection="1">
      <x:alignment horizontal="general" vertical="bottom" wrapText="0" shrinkToFit="0"/>
    </x:xf>
    <x:xf numFmtId="164" fontId="0" fillId="0" borderId="0" applyFont="1" applyBorder="1" applyAlignment="1" applyProtection="1">
      <x:alignment horizontal="general" vertical="bottom" wrapText="0" shrinkToFit="0"/>
    </x:xf>
    <x:xf numFmtId="164" fontId="0" fillId="0" borderId="0" applyFont="1" applyBorder="1" applyAlignment="1" applyProtection="1">
      <x:alignment horizontal="general" vertical="bottom" wrapText="0" shrinkToFit="0"/>
    </x:xf>
    <x:xf numFmtId="164" fontId="4" fillId="0" borderId="0" applyFont="1" applyBorder="1" applyAlignment="1" applyProtection="1">
      <x:alignment horizontal="general" vertical="bottom" wrapText="0" shrinkToFit="0"/>
    </x:xf>
  </x:cellStyleXfs>
  <x:cellXfs count="653">
    <x:xf numFmtId="164" fontId="0" fillId="0" borderId="0" xfId="0" applyFont="0" applyBorder="0" applyAlignment="0">
      <x:alignment horizontal="general" vertical="center" wrapText="0"/>
    </x:xf>
    <x:xf numFmtId="164" fontId="5" fillId="2" borderId="0" xfId="0" applyFont="1" applyBorder="0" applyAlignment="0">
      <x:alignment horizontal="general" vertical="center" wrapText="0"/>
    </x:xf>
    <x:xf numFmtId="164" fontId="6" fillId="2" borderId="0" xfId="0" applyFont="1" applyBorder="0" applyAlignment="1">
      <x:alignment horizontal="center" vertical="bottom" wrapText="0"/>
    </x:xf>
    <x:xf numFmtId="164" fontId="7" fillId="2" borderId="0" xfId="0" applyFont="1" applyBorder="0" applyAlignment="1">
      <x:alignment horizontal="justify" vertical="bottom" wrapText="0"/>
    </x:xf>
    <x:xf numFmtId="164" fontId="8" fillId="2" borderId="0" xfId="0" applyFont="1" applyBorder="0" applyAlignment="1">
      <x:alignment horizontal="justify" vertical="bottom" wrapText="0"/>
    </x:xf>
    <x:xf numFmtId="164" fontId="8" fillId="2" borderId="0" xfId="0" applyFont="1" applyBorder="0" applyAlignment="1">
      <x:alignment horizontal="justify" vertical="bottom" wrapText="1"/>
    </x:xf>
    <x:xf numFmtId="164" fontId="8" fillId="2" borderId="0" xfId="0" applyFont="1" applyBorder="0" applyAlignment="1">
      <x:alignment horizontal="left" vertical="bottom" wrapText="1"/>
    </x:xf>
    <x:xf numFmtId="164" fontId="10" fillId="2" borderId="0" xfId="0" applyFont="1" applyBorder="0" applyAlignment="1">
      <x:alignment horizontal="justify" vertical="bottom" wrapText="0"/>
    </x:xf>
    <x:xf numFmtId="164" fontId="11" fillId="2" borderId="0" xfId="0" applyFont="1" applyBorder="0" applyAlignment="1">
      <x:alignment horizontal="justify" vertical="bottom" wrapText="0"/>
    </x:xf>
    <x:xf numFmtId="164" fontId="9" fillId="2" borderId="0" xfId="0" applyFont="1" applyBorder="0" applyAlignment="1">
      <x:alignment horizontal="justify" vertical="bottom" wrapText="0"/>
    </x:xf>
    <x:xf numFmtId="164" fontId="8" fillId="0" borderId="0" xfId="24" applyFont="1" applyBorder="0" applyAlignment="1">
      <x:alignment horizontal="left" vertical="bottom" wrapText="0"/>
    </x:xf>
    <x:xf numFmtId="164" fontId="8" fillId="0" borderId="0" xfId="24" applyFont="1" applyBorder="0" applyAlignment="0">
      <x:alignment horizontal="general" vertical="bottom" wrapText="0"/>
    </x:xf>
    <x:xf numFmtId="164" fontId="12" fillId="0" borderId="1" xfId="24" applyFont="1" applyBorder="1" applyAlignment="1">
      <x:alignment horizontal="center" vertical="center" wrapText="0"/>
    </x:xf>
    <x:xf numFmtId="164" fontId="13" fillId="0" borderId="2" xfId="24" applyFont="1" applyBorder="1" applyAlignment="1">
      <x:alignment horizontal="center" vertical="center" wrapText="0"/>
    </x:xf>
    <x:xf numFmtId="164" fontId="14" fillId="3" borderId="0" xfId="24" applyFont="1" applyBorder="0" applyAlignment="1">
      <x:alignment horizontal="left" vertical="bottom" wrapText="0"/>
    </x:xf>
    <x:xf numFmtId="164" fontId="15" fillId="0" borderId="0" xfId="24" applyFont="1" applyBorder="0" applyAlignment="1">
      <x:alignment horizontal="left" vertical="bottom" wrapText="0"/>
    </x:xf>
    <x:xf numFmtId="164" fontId="8" fillId="3" borderId="0" xfId="24" applyFont="1" applyBorder="0" applyAlignment="0">
      <x:alignment horizontal="general" vertical="bottom" wrapText="0"/>
    </x:xf>
    <x:xf numFmtId="164" fontId="9" fillId="3" borderId="2" xfId="24" applyFont="1" applyBorder="1" applyAlignment="1">
      <x:alignment horizontal="left" vertical="bottom" wrapText="0"/>
    </x:xf>
    <x:xf numFmtId="164" fontId="10" fillId="0" borderId="2" xfId="24" applyFont="1" applyBorder="1" applyAlignment="1">
      <x:alignment horizontal="left" vertical="bottom" wrapText="0"/>
    </x:xf>
    <x:xf numFmtId="164" fontId="8" fillId="0" borderId="3" xfId="24" applyFont="1" applyBorder="1" applyAlignment="1">
      <x:alignment horizontal="general" vertical="bottom" wrapText="0"/>
    </x:xf>
    <x:xf numFmtId="164" fontId="9" fillId="3" borderId="2" xfId="24" applyFont="1" applyBorder="1" applyAlignment="1">
      <x:alignment horizontal="left" vertical="center" wrapText="0"/>
    </x:xf>
    <x:xf numFmtId="164" fontId="10" fillId="0" borderId="2" xfId="24" applyFont="1" applyBorder="1" applyAlignment="1">
      <x:alignment horizontal="left" vertical="center" wrapText="0"/>
    </x:xf>
    <x:xf numFmtId="164" fontId="10" fillId="0" borderId="3" xfId="24" applyFont="1" applyBorder="1" applyAlignment="1">
      <x:alignment horizontal="general" vertical="bottom" wrapText="0"/>
    </x:xf>
    <x:xf numFmtId="164" fontId="10" fillId="0" borderId="3" xfId="24" applyFont="1" applyBorder="1" applyAlignment="1">
      <x:alignment horizontal="left" vertical="bottom" wrapText="0"/>
    </x:xf>
    <x:xf numFmtId="164" fontId="9" fillId="0" borderId="0" xfId="24" applyFont="1" applyBorder="1" applyAlignment="0">
      <x:alignment horizontal="general" vertical="bottom" wrapText="0"/>
    </x:xf>
    <x:xf numFmtId="164" fontId="15" fillId="0" borderId="0" xfId="24" applyFont="1" applyBorder="1" applyAlignment="1">
      <x:alignment horizontal="left" vertical="bottom" wrapText="0"/>
    </x:xf>
    <x:xf numFmtId="164" fontId="8" fillId="0" borderId="0" xfId="24" applyFont="1" applyBorder="1" applyAlignment="1">
      <x:alignment horizontal="general" vertical="bottom" wrapText="0"/>
    </x:xf>
    <x:xf numFmtId="164" fontId="14" fillId="0" borderId="0" xfId="24" applyFont="1" applyBorder="1" applyAlignment="1">
      <x:alignment horizontal="left" vertical="bottom" wrapText="0"/>
    </x:xf>
    <x:xf numFmtId="164" fontId="15" fillId="0" borderId="0" xfId="24" applyFont="1" applyBorder="1" applyAlignment="1">
      <x:alignment horizontal="left" vertical="bottom" wrapText="0"/>
    </x:xf>
    <x:xf numFmtId="164" fontId="8" fillId="0" borderId="0" xfId="24" applyFont="1" applyBorder="0" applyAlignment="0">
      <x:alignment horizontal="general" vertical="bottom" wrapText="0"/>
    </x:xf>
    <x:xf numFmtId="164" fontId="8" fillId="0" borderId="0" xfId="24" applyFont="1" applyBorder="1" applyAlignment="0">
      <x:alignment horizontal="general" vertical="bottom" wrapText="0"/>
    </x:xf>
    <x:xf numFmtId="164" fontId="9" fillId="0" borderId="0" xfId="24" applyFont="1" applyBorder="0" applyAlignment="1">
      <x:alignment horizontal="left" vertical="bottom" wrapText="0"/>
    </x:xf>
    <x:xf numFmtId="165" fontId="16" fillId="4" borderId="4" xfId="24" applyFont="1" applyBorder="1" applyAlignment="1">
      <x:alignment horizontal="center" vertical="center" wrapText="0"/>
    </x:xf>
    <x:xf numFmtId="164" fontId="16" fillId="4" borderId="5" xfId="24" applyFont="1" applyBorder="1" applyAlignment="1">
      <x:alignment horizontal="center" vertical="center" wrapText="0"/>
    </x:xf>
    <x:xf numFmtId="164" fontId="16" fillId="4" borderId="6" xfId="24" applyFont="1" applyBorder="1" applyAlignment="1">
      <x:alignment horizontal="center" vertical="center" wrapText="0"/>
    </x:xf>
    <x:xf numFmtId="164" fontId="10" fillId="0" borderId="7" xfId="24" applyFont="1" applyBorder="1" applyAlignment="1">
      <x:alignment horizontal="general" vertical="top" wrapText="1"/>
    </x:xf>
    <x:xf numFmtId="166" fontId="8" fillId="0" borderId="8" xfId="24" applyFont="1" applyBorder="1" applyAlignment="1">
      <x:alignment horizontal="general" vertical="top" wrapText="0"/>
    </x:xf>
    <x:xf numFmtId="164" fontId="8" fillId="0" borderId="8" xfId="24" applyFont="1" applyBorder="1" applyAlignment="1">
      <x:alignment horizontal="general" vertical="top" wrapText="0"/>
    </x:xf>
    <x:xf numFmtId="167" fontId="8" fillId="0" borderId="8" xfId="24" applyFont="1" applyBorder="1" applyAlignment="1">
      <x:alignment horizontal="general" vertical="top" wrapText="0"/>
    </x:xf>
    <x:xf numFmtId="164" fontId="10" fillId="0" borderId="9" xfId="24" applyFont="1" applyBorder="1" applyAlignment="1">
      <x:alignment horizontal="general" vertical="top" wrapText="1"/>
    </x:xf>
    <x:xf numFmtId="165" fontId="8" fillId="0" borderId="7" xfId="24" applyFont="1" applyBorder="1" applyAlignment="1">
      <x:alignment horizontal="general" vertical="top" wrapText="0"/>
    </x:xf>
    <x:xf numFmtId="164" fontId="8" fillId="0" borderId="9" xfId="24" applyFont="1" applyBorder="1" applyAlignment="1">
      <x:alignment horizontal="general" vertical="top" wrapText="0"/>
    </x:xf>
    <x:xf numFmtId="165" fontId="8" fillId="0" borderId="10" xfId="24" applyFont="1" applyBorder="1" applyAlignment="1">
      <x:alignment horizontal="general" vertical="top" wrapText="0"/>
    </x:xf>
    <x:xf numFmtId="166" fontId="8" fillId="0" borderId="11" xfId="24" applyFont="1" applyBorder="1" applyAlignment="1">
      <x:alignment horizontal="general" vertical="top" wrapText="0"/>
    </x:xf>
    <x:xf numFmtId="164" fontId="8" fillId="0" borderId="11" xfId="24" applyFont="1" applyBorder="1" applyAlignment="1">
      <x:alignment horizontal="general" vertical="top" wrapText="0"/>
    </x:xf>
    <x:xf numFmtId="164" fontId="8" fillId="0" borderId="12" xfId="24" applyFont="1" applyBorder="1" applyAlignment="1">
      <x:alignment horizontal="general" vertical="top" wrapText="0"/>
    </x:xf>
    <x:xf numFmtId="168" fontId="8" fillId="3" borderId="0" xfId="24" applyFont="1" applyBorder="0" applyAlignment="0">
      <x:alignment horizontal="general" vertical="bottom" wrapText="0"/>
    </x:xf>
    <x:xf numFmtId="164" fontId="8" fillId="3" borderId="0" xfId="24" applyFont="1" applyBorder="0" applyAlignment="1">
      <x:alignment horizontal="left" vertical="bottom" wrapText="0"/>
    </x:xf>
    <x:xf numFmtId="164" fontId="8" fillId="3" borderId="0" xfId="24" applyFont="1" applyBorder="0" applyAlignment="1">
      <x:alignment horizontal="left" vertical="bottom" wrapText="1"/>
    </x:xf>
    <x:xf numFmtId="168" fontId="8" fillId="3" borderId="0" xfId="24" applyFont="1" applyBorder="0" applyAlignment="0">
      <x:alignment horizontal="general" vertical="bottom" wrapText="0"/>
    </x:xf>
    <x:xf numFmtId="164" fontId="13" fillId="3" borderId="0" xfId="24" applyFont="1" applyBorder="0" applyAlignment="1">
      <x:alignment horizontal="left" vertical="bottom" wrapText="0"/>
    </x:xf>
    <x:xf numFmtId="164" fontId="19" fillId="3" borderId="0" xfId="24" applyFont="1" applyBorder="0" applyAlignment="1">
      <x:alignment horizontal="left" vertical="bottom" wrapText="0"/>
    </x:xf>
    <x:xf numFmtId="164" fontId="20" fillId="3" borderId="0" xfId="24" applyFont="1" applyBorder="0" applyAlignment="1">
      <x:alignment horizontal="left" vertical="bottom" wrapText="0"/>
    </x:xf>
    <x:xf numFmtId="168" fontId="9" fillId="3" borderId="1" xfId="24" applyFont="1" applyBorder="1" applyAlignment="1">
      <x:alignment horizontal="general" vertical="bottom" wrapText="0"/>
    </x:xf>
    <x:xf numFmtId="164" fontId="10" fillId="3" borderId="2" xfId="24" applyFont="1" applyBorder="1" applyAlignment="1">
      <x:alignment horizontal="left" vertical="bottom" wrapText="0"/>
    </x:xf>
    <x:xf numFmtId="168" fontId="9" fillId="3" borderId="2" xfId="24" applyFont="1" applyBorder="1" applyAlignment="1">
      <x:alignment horizontal="left" vertical="bottom" wrapText="0"/>
    </x:xf>
    <x:xf numFmtId="164" fontId="10" fillId="3" borderId="1" xfId="24" applyFont="1" applyBorder="1" applyAlignment="1">
      <x:alignment horizontal="left" vertical="bottom" wrapText="0"/>
    </x:xf>
    <x:xf numFmtId="164" fontId="10" fillId="3" borderId="13" xfId="24" applyFont="1" applyBorder="1" applyAlignment="1">
      <x:alignment horizontal="left" vertical="bottom" wrapText="0"/>
    </x:xf>
    <x:xf numFmtId="164" fontId="10" fillId="3" borderId="3" xfId="24" applyFont="1" applyBorder="1" applyAlignment="1">
      <x:alignment horizontal="left" vertical="bottom" wrapText="0"/>
    </x:xf>
    <x:xf numFmtId="168" fontId="9" fillId="3" borderId="2" xfId="24" applyFont="1" applyBorder="1" applyAlignment="1">
      <x:alignment horizontal="general" vertical="center" wrapText="1"/>
    </x:xf>
    <x:xf numFmtId="164" fontId="10" fillId="3" borderId="2" xfId="24" applyFont="1" applyBorder="1" applyAlignment="1">
      <x:alignment horizontal="left" vertical="top" wrapText="1"/>
    </x:xf>
    <x:xf numFmtId="168" fontId="14" fillId="3" borderId="0" xfId="24" applyFont="1" applyBorder="1" applyAlignment="1">
      <x:alignment horizontal="general" vertical="bottom" wrapText="0"/>
    </x:xf>
    <x:xf numFmtId="164" fontId="8" fillId="3" borderId="0" xfId="24" applyFont="1" applyBorder="1" applyAlignment="1">
      <x:alignment horizontal="general" vertical="bottom" wrapText="0"/>
    </x:xf>
    <x:xf numFmtId="164" fontId="8" fillId="3" borderId="0" xfId="24" applyFont="1" applyBorder="1" applyAlignment="1">
      <x:alignment horizontal="general" vertical="bottom" wrapText="1"/>
    </x:xf>
    <x:xf numFmtId="168" fontId="8" fillId="3" borderId="0" xfId="24" applyFont="1" applyBorder="0" applyAlignment="1">
      <x:alignment horizontal="general" vertical="center" wrapText="0"/>
    </x:xf>
    <x:xf numFmtId="164" fontId="8" fillId="3" borderId="0" xfId="24" applyFont="1" applyBorder="0" applyAlignment="1">
      <x:alignment horizontal="left" vertical="center" wrapText="0"/>
    </x:xf>
    <x:xf numFmtId="164" fontId="8" fillId="3" borderId="0" xfId="24" applyFont="1" applyBorder="0" applyAlignment="1">
      <x:alignment horizontal="left" vertical="center" wrapText="1"/>
    </x:xf>
    <x:xf numFmtId="168" fontId="16" fillId="5" borderId="4" xfId="24" applyFont="1" applyBorder="1" applyAlignment="1">
      <x:alignment horizontal="center" vertical="center" wrapText="0"/>
    </x:xf>
    <x:xf numFmtId="168" fontId="16" fillId="5" borderId="14" xfId="24" applyFont="1" applyBorder="1" applyAlignment="1">
      <x:alignment horizontal="center" vertical="center" wrapText="1"/>
    </x:xf>
    <x:xf numFmtId="168" fontId="16" fillId="5" borderId="14" xfId="24" applyFont="1" applyBorder="1" applyAlignment="1">
      <x:alignment horizontal="center" vertical="center" wrapText="0"/>
    </x:xf>
    <x:xf numFmtId="164" fontId="16" fillId="5" borderId="5" xfId="24" applyFont="1" applyBorder="1" applyAlignment="1">
      <x:alignment horizontal="center" vertical="center" wrapText="0"/>
    </x:xf>
    <x:xf numFmtId="164" fontId="16" fillId="5" borderId="5" xfId="24" applyFont="1" applyBorder="1" applyAlignment="1">
      <x:alignment horizontal="center" vertical="center" wrapText="1"/>
    </x:xf>
    <x:xf numFmtId="164" fontId="16" fillId="5" borderId="15" xfId="24" applyFont="1" applyBorder="1" applyAlignment="1">
      <x:alignment horizontal="center" vertical="center" wrapText="0"/>
    </x:xf>
    <x:xf numFmtId="164" fontId="16" fillId="5" borderId="6" xfId="24" applyFont="1" applyBorder="1" applyAlignment="1">
      <x:alignment horizontal="center" vertical="center" wrapText="0"/>
    </x:xf>
    <x:xf numFmtId="168" fontId="8" fillId="3" borderId="7" xfId="24" applyFont="1" applyBorder="1" applyAlignment="1">
      <x:alignment horizontal="center" vertical="center" wrapText="0"/>
    </x:xf>
    <x:xf numFmtId="168" fontId="8" fillId="3" borderId="16" xfId="24" applyFont="1" applyBorder="1" applyAlignment="1">
      <x:alignment horizontal="general" vertical="center" wrapText="0"/>
    </x:xf>
    <x:xf numFmtId="166" fontId="8" fillId="3" borderId="8" xfId="24" applyFont="1" applyBorder="1" applyAlignment="1">
      <x:alignment horizontal="left" vertical="center" wrapText="0"/>
    </x:xf>
    <x:xf numFmtId="166" fontId="8" fillId="3" borderId="8" xfId="24" applyFont="1" applyBorder="1" applyAlignment="1">
      <x:alignment horizontal="left" vertical="center" wrapText="1"/>
    </x:xf>
    <x:xf numFmtId="164" fontId="21" fillId="3" borderId="8" xfId="20" applyFont="1" applyBorder="1" applyAlignment="1">
      <x:alignment horizontal="left" vertical="center" wrapText="0"/>
    </x:xf>
    <x:xf numFmtId="164" fontId="8" fillId="3" borderId="9" xfId="24" applyFont="1" applyBorder="1" applyAlignment="1">
      <x:alignment horizontal="left" vertical="center" wrapText="0"/>
    </x:xf>
    <x:xf numFmtId="164" fontId="8" fillId="3" borderId="8" xfId="24" applyFont="1" applyBorder="1" applyAlignment="1">
      <x:alignment horizontal="left" vertical="center" wrapText="0"/>
    </x:xf>
    <x:xf numFmtId="168" fontId="8" fillId="3" borderId="10" xfId="24" applyFont="1" applyBorder="1" applyAlignment="1">
      <x:alignment horizontal="center" vertical="center" wrapText="0"/>
    </x:xf>
    <x:xf numFmtId="168" fontId="8" fillId="3" borderId="17" xfId="24" applyFont="1" applyBorder="1" applyAlignment="1">
      <x:alignment horizontal="general" vertical="center" wrapText="0"/>
    </x:xf>
    <x:xf numFmtId="166" fontId="8" fillId="3" borderId="11" xfId="24" applyFont="1" applyBorder="1" applyAlignment="1">
      <x:alignment horizontal="left" vertical="center" wrapText="0"/>
    </x:xf>
    <x:xf numFmtId="166" fontId="8" fillId="3" borderId="11" xfId="24" applyFont="1" applyBorder="1" applyAlignment="1">
      <x:alignment horizontal="left" vertical="center" wrapText="1"/>
    </x:xf>
    <x:xf numFmtId="164" fontId="8" fillId="3" borderId="11" xfId="24" applyFont="1" applyBorder="1" applyAlignment="1">
      <x:alignment horizontal="left" vertical="center" wrapText="0"/>
    </x:xf>
    <x:xf numFmtId="164" fontId="8" fillId="3" borderId="12" xfId="24" applyFont="1" applyBorder="1" applyAlignment="1">
      <x:alignment horizontal="left" vertical="center" wrapText="0"/>
    </x:xf>
    <x:xf numFmtId="164" fontId="13" fillId="3" borderId="0" xfId="21" applyFont="1" applyBorder="1" applyAlignment="1">
      <x:alignment horizontal="center" vertical="bottom" wrapText="0"/>
    </x:xf>
    <x:xf numFmtId="164" fontId="9" fillId="3" borderId="0" xfId="21" applyFont="1" applyBorder="1" applyAlignment="0">
      <x:alignment horizontal="general" vertical="bottom" wrapText="0"/>
    </x:xf>
    <x:xf numFmtId="164" fontId="8" fillId="3" borderId="0" xfId="21" applyFont="1" applyBorder="1" applyAlignment="0">
      <x:alignment horizontal="general" vertical="bottom" wrapText="0"/>
    </x:xf>
    <x:xf numFmtId="165" fontId="8" fillId="3" borderId="0" xfId="21" applyFont="1" applyBorder="1" applyAlignment="0">
      <x:alignment horizontal="general" vertical="bottom" wrapText="0"/>
    </x:xf>
    <x:xf numFmtId="164" fontId="9" fillId="3" borderId="2" xfId="24" applyFont="1" applyBorder="1" applyAlignment="1">
      <x:alignment horizontal="center" vertical="bottom" wrapText="0"/>
    </x:xf>
    <x:xf numFmtId="164" fontId="9" fillId="3" borderId="2" xfId="24" applyFont="1" applyBorder="1" applyAlignment="1">
      <x:alignment horizontal="general" vertical="center" wrapText="0"/>
    </x:xf>
    <x:xf numFmtId="169" fontId="10" fillId="3" borderId="2" xfId="24" applyFont="1" applyBorder="1" applyAlignment="1">
      <x:alignment horizontal="left" vertical="top" wrapText="0"/>
    </x:xf>
    <x:xf numFmtId="164" fontId="10" fillId="3" borderId="2" xfId="21" applyFont="1" applyBorder="1" applyAlignment="1">
      <x:alignment horizontal="general" vertical="top" wrapText="0"/>
    </x:xf>
    <x:xf numFmtId="164" fontId="14" fillId="3" borderId="0" xfId="24" applyFont="1" applyBorder="0" applyAlignment="0">
      <x:alignment horizontal="general" vertical="bottom" wrapText="0"/>
    </x:xf>
    <x:xf numFmtId="164" fontId="15" fillId="3" borderId="0" xfId="21" applyFont="1" applyBorder="1" applyAlignment="0">
      <x:alignment horizontal="general" vertical="bottom" wrapText="0"/>
    </x:xf>
    <x:xf numFmtId="164" fontId="8" fillId="3" borderId="0" xfId="24" applyFont="1" applyBorder="1" applyAlignment="0">
      <x:alignment horizontal="general" vertical="bottom" wrapText="0"/>
    </x:xf>
    <x:xf numFmtId="164" fontId="16" fillId="4" borderId="14" xfId="24" applyFont="1" applyBorder="1" applyAlignment="1">
      <x:alignment horizontal="center" vertical="bottom" wrapText="0"/>
    </x:xf>
    <x:xf numFmtId="164" fontId="16" fillId="4" borderId="5" xfId="24" applyFont="1" applyBorder="1" applyAlignment="1">
      <x:alignment horizontal="center" vertical="bottom" wrapText="0"/>
    </x:xf>
    <x:xf numFmtId="164" fontId="16" fillId="4" borderId="5" xfId="24" applyFont="1" applyBorder="1" applyAlignment="1">
      <x:alignment horizontal="center" vertical="bottom" wrapText="1"/>
    </x:xf>
    <x:xf numFmtId="164" fontId="16" fillId="4" borderId="15" xfId="24" applyFont="1" applyBorder="1" applyAlignment="1">
      <x:alignment horizontal="center" vertical="bottom" wrapText="0"/>
    </x:xf>
    <x:xf numFmtId="164" fontId="16" fillId="4" borderId="18" xfId="24" applyFont="1" applyBorder="1" applyAlignment="1">
      <x:alignment horizontal="center" vertical="bottom" wrapText="1"/>
    </x:xf>
    <x:xf numFmtId="164" fontId="8" fillId="3" borderId="16" xfId="24" applyFont="1" applyBorder="1" applyAlignment="1">
      <x:alignment horizontal="center" vertical="bottom" wrapText="0"/>
    </x:xf>
    <x:xf numFmtId="166" fontId="21" fillId="3" borderId="8" xfId="20" applyFont="1" applyBorder="1" applyAlignment="1">
      <x:alignment horizontal="general" vertical="bottom" wrapText="0"/>
    </x:xf>
    <x:xf numFmtId="164" fontId="8" fillId="3" borderId="8" xfId="24" applyFont="1" applyBorder="1" applyAlignment="1">
      <x:alignment horizontal="center" vertical="bottom" wrapText="0"/>
    </x:xf>
    <x:xf numFmtId="164" fontId="8" fillId="3" borderId="19" xfId="24" applyFont="1" applyBorder="1" applyAlignment="1">
      <x:alignment horizontal="center" vertical="bottom" wrapText="0"/>
    </x:xf>
    <x:xf numFmtId="166" fontId="23" fillId="3" borderId="8" xfId="20" applyFont="1" applyBorder="1" applyAlignment="1">
      <x:alignment horizontal="general" vertical="bottom" wrapText="0"/>
    </x:xf>
    <x:xf numFmtId="164" fontId="24" fillId="4" borderId="17" xfId="24" applyFont="1" applyBorder="1" applyAlignment="1">
      <x:alignment horizontal="center" vertical="bottom" wrapText="0"/>
    </x:xf>
    <x:xf numFmtId="164" fontId="25" fillId="4" borderId="0" xfId="0" applyFont="1" applyBorder="0" applyAlignment="0">
      <x:alignment horizontal="general" vertical="center" wrapText="0"/>
    </x:xf>
    <x:xf numFmtId="164" fontId="24" fillId="4" borderId="11" xfId="24" applyFont="1" applyBorder="1" applyAlignment="1">
      <x:alignment horizontal="center" vertical="bottom" wrapText="0"/>
    </x:xf>
    <x:xf numFmtId="164" fontId="8" fillId="3" borderId="0" xfId="24" applyFont="1" applyBorder="1" applyAlignment="1">
      <x:alignment horizontal="center" vertical="bottom" wrapText="0"/>
    </x:xf>
    <x:xf numFmtId="170" fontId="8" fillId="3" borderId="0" xfId="24" applyFont="1" applyBorder="1" applyAlignment="1">
      <x:alignment horizontal="center" vertical="bottom" wrapText="0"/>
    </x:xf>
    <x:xf numFmtId="171" fontId="8" fillId="3" borderId="0" xfId="24" applyFont="1" applyBorder="1" applyAlignment="1">
      <x:alignment horizontal="center" vertical="bottom" wrapText="0"/>
    </x:xf>
    <x:xf numFmtId="164" fontId="9" fillId="3" borderId="0" xfId="24" applyFont="1" applyBorder="1" applyAlignment="1">
      <x:alignment horizontal="left" vertical="bottom" wrapText="0"/>
    </x:xf>
    <x:xf numFmtId="172" fontId="9" fillId="3" borderId="0" xfId="24" applyFont="1" applyBorder="1" applyAlignment="1">
      <x:alignment horizontal="right" vertical="bottom" wrapText="1"/>
    </x:xf>
    <x:xf numFmtId="164" fontId="26" fillId="3" borderId="0" xfId="24" applyFont="1" applyBorder="1" applyAlignment="1">
      <x:alignment horizontal="center" vertical="bottom" wrapText="1"/>
    </x:xf>
    <x:xf numFmtId="164" fontId="33" fillId="0" borderId="0" xfId="24" applyFont="1" applyBorder="0" applyAlignment="0">
      <x:alignment horizontal="general" vertical="bottom" wrapText="0"/>
    </x:xf>
    <x:xf numFmtId="164" fontId="34" fillId="0" borderId="0" xfId="24" applyFont="1" applyBorder="0" applyAlignment="1">
      <x:alignment horizontal="left" vertical="bottom" wrapText="0"/>
    </x:xf>
    <x:xf numFmtId="164" fontId="33" fillId="0" borderId="0" xfId="24" applyFont="1" applyBorder="0" applyAlignment="1">
      <x:alignment horizontal="right" vertical="bottom" wrapText="0"/>
    </x:xf>
    <x:xf numFmtId="164" fontId="33" fillId="0" borderId="20" xfId="24" applyFont="1" applyBorder="1" applyAlignment="0">
      <x:alignment horizontal="general" vertical="bottom" wrapText="0"/>
    </x:xf>
    <x:xf numFmtId="164" fontId="34" fillId="0" borderId="20" xfId="24" applyFont="1" applyBorder="1" applyAlignment="1">
      <x:alignment horizontal="left" vertical="bottom" wrapText="0"/>
    </x:xf>
    <x:xf numFmtId="164" fontId="34" fillId="3" borderId="21" xfId="22" applyFont="1" applyBorder="1" applyAlignment="1">
      <x:alignment horizontal="left" vertical="bottom" wrapText="1"/>
    </x:xf>
    <x:xf numFmtId="166" fontId="35" fillId="3" borderId="22" xfId="22" applyFont="1" applyBorder="1" applyAlignment="1">
      <x:alignment horizontal="left" vertical="bottom" wrapText="1"/>
    </x:xf>
    <x:xf numFmtId="164" fontId="34" fillId="3" borderId="23" xfId="22" applyFont="1" applyBorder="1" applyAlignment="1">
      <x:alignment horizontal="left" vertical="bottom" wrapText="1"/>
    </x:xf>
    <x:xf numFmtId="166" fontId="33" fillId="3" borderId="24" xfId="22" applyFont="1" applyBorder="1" applyAlignment="1">
      <x:alignment horizontal="center" vertical="bottom" wrapText="1"/>
    </x:xf>
    <x:xf numFmtId="166" fontId="33" fillId="0" borderId="0" xfId="24" applyFont="1" applyBorder="0" applyAlignment="0">
      <x:alignment horizontal="general" vertical="bottom" wrapText="0"/>
    </x:xf>
    <x:xf numFmtId="164" fontId="34" fillId="3" borderId="25" xfId="22" applyFont="1" applyBorder="1" applyAlignment="1">
      <x:alignment horizontal="left" vertical="bottom" wrapText="1"/>
    </x:xf>
    <x:xf numFmtId="164" fontId="35" fillId="3" borderId="26" xfId="22" applyFont="1" applyBorder="1" applyAlignment="1">
      <x:alignment horizontal="left" vertical="bottom" wrapText="1"/>
    </x:xf>
    <x:xf numFmtId="164" fontId="34" fillId="3" borderId="2" xfId="22" applyFont="1" applyBorder="1" applyAlignment="1">
      <x:alignment horizontal="left" vertical="bottom" wrapText="1"/>
    </x:xf>
    <x:xf numFmtId="164" fontId="35" fillId="3" borderId="27" xfId="22" applyFont="1" applyBorder="1" applyAlignment="1">
      <x:alignment horizontal="left" vertical="bottom" wrapText="1"/>
    </x:xf>
    <x:xf numFmtId="164" fontId="35" fillId="3" borderId="27" xfId="22" applyFont="1" applyBorder="1" applyAlignment="1">
      <x:alignment horizontal="general" vertical="bottom" wrapText="1"/>
    </x:xf>
    <x:xf numFmtId="164" fontId="35" fillId="3" borderId="28" xfId="22" applyFont="1" applyBorder="1" applyAlignment="1">
      <x:alignment horizontal="general" vertical="bottom" wrapText="1"/>
    </x:xf>
    <x:xf numFmtId="164" fontId="35" fillId="3" borderId="1" xfId="22" applyFont="1" applyBorder="1" applyAlignment="1">
      <x:alignment horizontal="center" vertical="bottom" wrapText="1"/>
    </x:xf>
    <x:xf numFmtId="164" fontId="35" fillId="3" borderId="13" xfId="22" applyFont="1" applyBorder="1" applyAlignment="1">
      <x:alignment horizontal="left" vertical="bottom" wrapText="1"/>
    </x:xf>
    <x:xf numFmtId="164" fontId="33" fillId="3" borderId="29" xfId="22" applyFont="1" applyBorder="1" applyAlignment="1">
      <x:alignment horizontal="center" vertical="bottom" wrapText="1"/>
    </x:xf>
    <x:xf numFmtId="164" fontId="35" fillId="3" borderId="29" xfId="22" applyFont="1" applyBorder="1" applyAlignment="1">
      <x:alignment horizontal="left" vertical="bottom" wrapText="1"/>
    </x:xf>
    <x:xf numFmtId="164" fontId="34" fillId="3" borderId="25" xfId="24" applyFont="1" applyBorder="1" applyAlignment="1">
      <x:alignment horizontal="center" vertical="center" wrapText="0"/>
    </x:xf>
    <x:xf numFmtId="164" fontId="34" fillId="3" borderId="2" xfId="24" applyFont="1" applyBorder="1" applyAlignment="1">
      <x:alignment horizontal="center" vertical="center" wrapText="1"/>
    </x:xf>
    <x:xf numFmtId="164" fontId="34" fillId="3" borderId="13" xfId="24" applyFont="1" applyBorder="1" applyAlignment="1">
      <x:alignment horizontal="center" vertical="center" wrapText="1"/>
    </x:xf>
    <x:xf numFmtId="164" fontId="34" fillId="3" borderId="29" xfId="24" applyFont="1" applyBorder="1" applyAlignment="1">
      <x:alignment horizontal="center" vertical="center" wrapText="1"/>
    </x:xf>
    <x:xf numFmtId="164" fontId="33" fillId="3" borderId="30" xfId="24" applyFont="1" applyBorder="1" applyAlignment="1">
      <x:alignment horizontal="center" vertical="center" wrapText="0"/>
    </x:xf>
    <x:xf numFmtId="164" fontId="33" fillId="3" borderId="31" xfId="24" applyFont="1" applyBorder="1" applyAlignment="1">
      <x:alignment horizontal="center" vertical="center" wrapText="0"/>
    </x:xf>
    <x:xf numFmtId="164" fontId="33" fillId="3" borderId="32" xfId="24" applyFont="1" applyBorder="1" applyAlignment="1">
      <x:alignment horizontal="center" vertical="center" wrapText="0"/>
    </x:xf>
    <x:xf numFmtId="164" fontId="33" fillId="3" borderId="33" xfId="24" applyFont="1" applyBorder="1" applyAlignment="1">
      <x:alignment horizontal="center" vertical="center" wrapText="0"/>
    </x:xf>
    <x:xf numFmtId="164" fontId="33" fillId="0" borderId="34" xfId="24" applyFont="1" applyBorder="1" applyAlignment="0">
      <x:alignment horizontal="general" vertical="bottom" wrapText="0"/>
    </x:xf>
    <x:xf numFmtId="165" fontId="16" fillId="4" borderId="35" xfId="24" applyFont="1" applyBorder="1" applyAlignment="1">
      <x:alignment horizontal="center" vertical="center" wrapText="0"/>
    </x:xf>
    <x:xf numFmtId="164" fontId="36" fillId="4" borderId="36" xfId="24" applyFont="1" applyBorder="1" applyAlignment="1">
      <x:alignment horizontal="left" vertical="bottom" wrapText="0"/>
    </x:xf>
    <x:xf numFmtId="164" fontId="37" fillId="4" borderId="36" xfId="24" applyFont="1" applyBorder="1" applyAlignment="0">
      <x:alignment horizontal="general" vertical="bottom" wrapText="0"/>
    </x:xf>
    <x:xf numFmtId="164" fontId="37" fillId="4" borderId="36" xfId="24" applyFont="1" applyBorder="1" applyAlignment="1">
      <x:alignment horizontal="right" vertical="bottom" wrapText="0"/>
    </x:xf>
    <x:xf numFmtId="164" fontId="36" fillId="4" borderId="36" xfId="24" applyFont="1" applyBorder="1" applyAlignment="1">
      <x:alignment horizontal="general" vertical="top" wrapText="0"/>
    </x:xf>
    <x:xf numFmtId="164" fontId="36" fillId="4" borderId="37" xfId="24" applyFont="1" applyBorder="1" applyAlignment="1">
      <x:alignment horizontal="general" vertical="top" wrapText="0"/>
    </x:xf>
    <x:xf numFmtId="164" fontId="34" fillId="0" borderId="0" xfId="24" applyFont="1" applyBorder="0" applyAlignment="0">
      <x:alignment horizontal="general" vertical="bottom" wrapText="0"/>
    </x:xf>
    <x:xf numFmtId="166" fontId="33" fillId="0" borderId="0" xfId="24" applyFont="1" applyBorder="1" applyAlignment="0">
      <x:alignment horizontal="general" vertical="bottom" wrapText="0"/>
    </x:xf>
    <x:xf numFmtId="164" fontId="33" fillId="0" borderId="0" xfId="24" applyFont="1" applyBorder="1" applyAlignment="0">
      <x:alignment horizontal="general" vertical="bottom" wrapText="0"/>
    </x:xf>
    <x:xf numFmtId="164" fontId="36" fillId="4" borderId="38" xfId="24" applyFont="1" applyBorder="1" applyAlignment="1">
      <x:alignment horizontal="general" vertical="center" wrapText="0"/>
    </x:xf>
    <x:xf numFmtId="164" fontId="34" fillId="3" borderId="39" xfId="24" applyFont="1" applyBorder="1" applyAlignment="1">
      <x:alignment horizontal="left" vertical="top" wrapText="0"/>
    </x:xf>
    <x:xf numFmtId="164" fontId="33" fillId="3" borderId="27" xfId="24" applyFont="1" applyBorder="1" applyAlignment="1">
      <x:alignment horizontal="center" vertical="top" wrapText="0"/>
    </x:xf>
    <x:xf numFmtId="164" fontId="33" fillId="3" borderId="40" xfId="24" applyFont="1" applyBorder="1" applyAlignment="1">
      <x:alignment horizontal="right" vertical="top" wrapText="0"/>
    </x:xf>
    <x:xf numFmtId="164" fontId="35" fillId="6" borderId="0" xfId="24" applyFont="1" applyBorder="1" applyAlignment="1">
      <x:alignment horizontal="right" vertical="bottom" wrapText="0"/>
    </x:xf>
    <x:xf numFmtId="164" fontId="7" fillId="0" borderId="26" xfId="24" applyFont="1" applyBorder="1" applyAlignment="1">
      <x:alignment horizontal="center" vertical="bottom" wrapText="0"/>
    </x:xf>
    <x:xf numFmtId="164" fontId="7" fillId="0" borderId="41" xfId="24" applyFont="1" applyBorder="1" applyAlignment="1">
      <x:alignment horizontal="center" vertical="bottom" wrapText="0"/>
    </x:xf>
    <x:xf numFmtId="164" fontId="36" fillId="4" borderId="42" xfId="24" applyFont="1" applyBorder="1" applyAlignment="1">
      <x:alignment horizontal="general" vertical="center" wrapText="0"/>
    </x:xf>
    <x:xf numFmtId="164" fontId="34" fillId="3" borderId="1" xfId="24" applyFont="1" applyBorder="1" applyAlignment="1">
      <x:alignment horizontal="left" vertical="top" wrapText="0"/>
    </x:xf>
    <x:xf numFmtId="164" fontId="33" fillId="3" borderId="13" xfId="24" applyFont="1" applyBorder="1" applyAlignment="1">
      <x:alignment horizontal="center" vertical="top" wrapText="0"/>
    </x:xf>
    <x:xf numFmtId="164" fontId="33" fillId="3" borderId="3" xfId="24" applyFont="1" applyBorder="1" applyAlignment="1">
      <x:alignment horizontal="right" vertical="top" wrapText="0"/>
    </x:xf>
    <x:xf numFmtId="164" fontId="7" fillId="0" borderId="2" xfId="24" applyFont="1" applyBorder="1" applyAlignment="1">
      <x:alignment horizontal="center" vertical="bottom" wrapText="0"/>
    </x:xf>
    <x:xf numFmtId="164" fontId="7" fillId="0" borderId="43" xfId="24" applyFont="1" applyBorder="1" applyAlignment="1">
      <x:alignment horizontal="center" vertical="bottom" wrapText="0"/>
    </x:xf>
    <x:xf numFmtId="164" fontId="33" fillId="0" borderId="0" xfId="24" applyFont="1" applyBorder="1" applyAlignment="1">
      <x:alignment horizontal="general" vertical="top" wrapText="0"/>
    </x:xf>
    <x:xf numFmtId="164" fontId="33" fillId="6" borderId="0" xfId="24" applyFont="1" applyBorder="1" applyAlignment="1">
      <x:alignment horizontal="right" vertical="bottom" wrapText="0"/>
    </x:xf>
    <x:xf numFmtId="164" fontId="34" fillId="0" borderId="0" xfId="24" applyFont="1" applyBorder="0" applyAlignment="1">
      <x:alignment horizontal="center" vertical="bottom" wrapText="0"/>
    </x:xf>
    <x:xf numFmtId="164" fontId="33" fillId="0" borderId="0" xfId="24" applyFont="1" applyBorder="1" applyAlignment="1">
      <x:alignment horizontal="right" vertical="bottom" wrapText="0"/>
    </x:xf>
    <x:xf numFmtId="164" fontId="34" fillId="3" borderId="44" xfId="24" applyFont="1" applyBorder="1" applyAlignment="1">
      <x:alignment horizontal="left" vertical="top" wrapText="0"/>
    </x:xf>
    <x:xf numFmtId="164" fontId="33" fillId="3" borderId="45" xfId="24" applyFont="1" applyBorder="1" applyAlignment="1">
      <x:alignment horizontal="center" vertical="top" wrapText="0"/>
    </x:xf>
    <x:xf numFmtId="164" fontId="33" fillId="3" borderId="46" xfId="24" applyFont="1" applyBorder="1" applyAlignment="1">
      <x:alignment horizontal="right" vertical="top" wrapText="0"/>
    </x:xf>
    <x:xf numFmtId="164" fontId="33" fillId="6" borderId="47" xfId="24" applyFont="1" applyBorder="1" applyAlignment="1">
      <x:alignment horizontal="right" vertical="bottom" wrapText="0"/>
    </x:xf>
    <x:xf numFmtId="164" fontId="7" fillId="0" borderId="48" xfId="24" applyFont="1" applyBorder="1" applyAlignment="1">
      <x:alignment horizontal="center" vertical="bottom" wrapText="0"/>
    </x:xf>
    <x:xf numFmtId="164" fontId="7" fillId="0" borderId="49" xfId="24" applyFont="1" applyBorder="1" applyAlignment="1">
      <x:alignment horizontal="center" vertical="bottom" wrapText="0"/>
    </x:xf>
    <x:xf numFmtId="164" fontId="36" fillId="4" borderId="38" xfId="24" applyFont="1" applyBorder="1" applyAlignment="1">
      <x:alignment horizontal="general" vertical="top" wrapText="0"/>
    </x:xf>
    <x:xf numFmtId="164" fontId="34" fillId="3" borderId="39" xfId="24" applyFont="1" applyBorder="1" applyAlignment="1">
      <x:alignment horizontal="general" vertical="bottom" wrapText="0"/>
    </x:xf>
    <x:xf numFmtId="164" fontId="34" fillId="3" borderId="27" xfId="24" applyFont="1" applyBorder="1" applyAlignment="1">
      <x:alignment horizontal="general" vertical="bottom" wrapText="0"/>
    </x:xf>
    <x:xf numFmtId="164" fontId="33" fillId="3" borderId="40" xfId="24" applyFont="1" applyBorder="1" applyAlignment="1">
      <x:alignment horizontal="right" vertical="bottom" wrapText="0"/>
    </x:xf>
    <x:xf numFmtId="164" fontId="33" fillId="6" borderId="26" xfId="24" applyFont="1" applyBorder="1" applyAlignment="1">
      <x:alignment horizontal="left" vertical="bottom" wrapText="0"/>
    </x:xf>
    <x:xf numFmtId="164" fontId="36" fillId="4" borderId="42" xfId="24" applyFont="1" applyBorder="1" applyAlignment="1">
      <x:alignment horizontal="general" vertical="top" wrapText="0"/>
    </x:xf>
    <x:xf numFmtId="164" fontId="34" fillId="3" borderId="1" xfId="24" applyFont="1" applyBorder="1" applyAlignment="1">
      <x:alignment horizontal="general" vertical="bottom" wrapText="0"/>
    </x:xf>
    <x:xf numFmtId="164" fontId="33" fillId="3" borderId="13" xfId="24" applyFont="1" applyBorder="1" applyAlignment="1">
      <x:alignment horizontal="general" vertical="bottom" wrapText="0"/>
    </x:xf>
    <x:xf numFmtId="164" fontId="33" fillId="3" borderId="3" xfId="24" applyFont="1" applyBorder="1" applyAlignment="1">
      <x:alignment horizontal="right" vertical="bottom" wrapText="0"/>
    </x:xf>
    <x:xf numFmtId="164" fontId="33" fillId="6" borderId="2" xfId="24" applyFont="1" applyBorder="1" applyAlignment="1">
      <x:alignment horizontal="left" vertical="bottom" wrapText="0"/>
    </x:xf>
    <x:xf numFmtId="164" fontId="5" fillId="3" borderId="13" xfId="24" applyFont="1" applyBorder="1" applyAlignment="1">
      <x:alignment horizontal="general" vertical="bottom" wrapText="0"/>
    </x:xf>
    <x:xf numFmtId="164" fontId="33" fillId="6" borderId="2" xfId="24" applyFont="1" applyBorder="1" applyAlignment="0">
      <x:alignment horizontal="general" vertical="bottom" wrapText="0"/>
    </x:xf>
    <x:xf numFmtId="164" fontId="34" fillId="3" borderId="50" xfId="24" applyFont="1" applyBorder="1" applyAlignment="1">
      <x:alignment horizontal="general" vertical="bottom" wrapText="0"/>
    </x:xf>
    <x:xf numFmtId="164" fontId="33" fillId="3" borderId="51" xfId="24" applyFont="1" applyBorder="1" applyAlignment="1">
      <x:alignment horizontal="general" vertical="bottom" wrapText="0"/>
    </x:xf>
    <x:xf numFmtId="164" fontId="33" fillId="3" borderId="52" xfId="24" applyFont="1" applyBorder="1" applyAlignment="1">
      <x:alignment horizontal="right" vertical="bottom" wrapText="0"/>
    </x:xf>
    <x:xf numFmtId="164" fontId="33" fillId="6" borderId="53" xfId="24" applyFont="1" applyBorder="1" applyAlignment="1">
      <x:alignment horizontal="left" vertical="bottom" wrapText="0"/>
    </x:xf>
    <x:xf numFmtId="164" fontId="7" fillId="0" borderId="53" xfId="24" applyFont="1" applyBorder="1" applyAlignment="1">
      <x:alignment horizontal="center" vertical="bottom" wrapText="0"/>
    </x:xf>
    <x:xf numFmtId="164" fontId="7" fillId="0" borderId="54" xfId="24" applyFont="1" applyBorder="1" applyAlignment="1">
      <x:alignment horizontal="center" vertical="bottom" wrapText="0"/>
    </x:xf>
    <x:xf numFmtId="164" fontId="33" fillId="0" borderId="55" xfId="24" applyFont="1" applyBorder="1" applyAlignment="1">
      <x:alignment horizontal="left" vertical="bottom" wrapText="0"/>
    </x:xf>
    <x:xf numFmtId="164" fontId="33" fillId="0" borderId="55" xfId="24" applyFont="1" applyBorder="1" applyAlignment="1">
      <x:alignment horizontal="center" vertical="bottom" wrapText="0"/>
    </x:xf>
    <x:xf numFmtId="164" fontId="33" fillId="0" borderId="56" xfId="24" applyFont="1" applyBorder="1" applyAlignment="1">
      <x:alignment horizontal="center" vertical="bottom" wrapText="0"/>
    </x:xf>
    <x:xf numFmtId="164" fontId="33" fillId="0" borderId="2" xfId="24" applyFont="1" applyBorder="1" applyAlignment="1">
      <x:alignment horizontal="left" vertical="bottom" wrapText="0"/>
    </x:xf>
    <x:xf numFmtId="164" fontId="38" fillId="0" borderId="2" xfId="24" applyFont="1" applyBorder="1" applyAlignment="1">
      <x:alignment horizontal="left" vertical="bottom" wrapText="0"/>
    </x:xf>
    <x:xf numFmtId="164" fontId="33" fillId="0" borderId="2" xfId="24" applyFont="1" applyBorder="1" applyAlignment="1">
      <x:alignment horizontal="center" vertical="bottom" wrapText="0"/>
    </x:xf>
    <x:xf numFmtId="164" fontId="33" fillId="0" borderId="43" xfId="24" applyFont="1" applyBorder="1" applyAlignment="1">
      <x:alignment horizontal="center" vertical="bottom" wrapText="0"/>
    </x:xf>
    <x:xf numFmtId="164" fontId="33" fillId="0" borderId="2" xfId="24" applyFont="1" applyBorder="1" applyAlignment="1">
      <x:alignment horizontal="left" vertical="top" wrapText="0"/>
    </x:xf>
    <x:xf numFmtId="164" fontId="33" fillId="0" borderId="2" xfId="24" applyFont="1" applyBorder="1" applyAlignment="0">
      <x:alignment horizontal="general" vertical="bottom" wrapText="0"/>
    </x:xf>
    <x:xf numFmtId="173" fontId="33" fillId="0" borderId="2" xfId="24" applyFont="1" applyBorder="1" applyAlignment="1">
      <x:alignment horizontal="general" vertical="top" wrapText="0"/>
    </x:xf>
    <x:xf numFmtId="173" fontId="33" fillId="0" borderId="43" xfId="24" applyFont="1" applyBorder="1" applyAlignment="1">
      <x:alignment horizontal="general" vertical="top" wrapText="0"/>
    </x:xf>
    <x:xf numFmtId="164" fontId="36" fillId="4" borderId="57" xfId="24" applyFont="1" applyBorder="1" applyAlignment="1">
      <x:alignment horizontal="general" vertical="top" wrapText="0"/>
    </x:xf>
    <x:xf numFmtId="164" fontId="33" fillId="0" borderId="48" xfId="24" applyFont="1" applyBorder="1" applyAlignment="1">
      <x:alignment horizontal="left" vertical="top" wrapText="0"/>
    </x:xf>
    <x:xf numFmtId="164" fontId="33" fillId="0" borderId="48" xfId="24" applyFont="1" applyBorder="1" applyAlignment="0">
      <x:alignment horizontal="general" vertical="bottom" wrapText="0"/>
    </x:xf>
    <x:xf numFmtId="164" fontId="33" fillId="0" borderId="48" xfId="24" applyFont="1" applyBorder="1" applyAlignment="1">
      <x:alignment horizontal="general" vertical="bottom" wrapText="0"/>
    </x:xf>
    <x:xf numFmtId="164" fontId="33" fillId="0" borderId="49" xfId="24" applyFont="1" applyBorder="1" applyAlignment="1">
      <x:alignment horizontal="general" vertical="bottom" wrapText="0"/>
    </x:xf>
    <x:xf numFmtId="164" fontId="36" fillId="0" borderId="0" xfId="24" applyFont="1" applyBorder="1" applyAlignment="1">
      <x:alignment horizontal="general" vertical="top" wrapText="0"/>
    </x:xf>
    <x:xf numFmtId="164" fontId="34" fillId="0" borderId="0" xfId="24" applyFont="1" applyBorder="1" applyAlignment="1">
      <x:alignment horizontal="left" vertical="bottom" wrapText="0"/>
    </x:xf>
    <x:xf numFmtId="164" fontId="33" fillId="0" borderId="0" xfId="24" applyFont="1" applyBorder="0" applyAlignment="1">
      <x:alignment horizontal="center" vertical="bottom" wrapText="0"/>
    </x:xf>
    <x:xf numFmtId="164" fontId="34" fillId="3" borderId="58" xfId="22" applyFont="1" applyBorder="1" applyAlignment="1">
      <x:alignment horizontal="left" vertical="bottom" wrapText="1"/>
    </x:xf>
    <x:xf numFmtId="164" fontId="33" fillId="0" borderId="22" xfId="24" applyFont="1" applyBorder="1" applyAlignment="0">
      <x:alignment horizontal="general" vertical="bottom" wrapText="0"/>
    </x:xf>
    <x:xf numFmtId="164" fontId="34" fillId="3" borderId="22" xfId="22" applyFont="1" applyBorder="1" applyAlignment="1">
      <x:alignment horizontal="left" vertical="bottom" wrapText="1"/>
    </x:xf>
    <x:xf numFmtId="166" fontId="35" fillId="3" borderId="24" xfId="22" applyFont="1" applyBorder="1" applyAlignment="1">
      <x:alignment horizontal="left" vertical="bottom" wrapText="1"/>
    </x:xf>
    <x:xf numFmtId="164" fontId="34" fillId="3" borderId="59" xfId="22" applyFont="1" applyBorder="1" applyAlignment="1">
      <x:alignment horizontal="left" vertical="bottom" wrapText="1"/>
    </x:xf>
    <x:xf numFmtId="164" fontId="34" fillId="3" borderId="26" xfId="22" applyFont="1" applyBorder="1" applyAlignment="1">
      <x:alignment horizontal="left" vertical="bottom" wrapText="1"/>
    </x:xf>
    <x:xf numFmtId="164" fontId="37" fillId="4" borderId="60" xfId="24" applyFont="1" applyBorder="1" applyAlignment="0">
      <x:alignment horizontal="general" vertical="bottom" wrapText="0"/>
    </x:xf>
    <x:xf numFmtId="164" fontId="36" fillId="4" borderId="61" xfId="24" applyFont="1" applyBorder="1" applyAlignment="1">
      <x:alignment horizontal="left" vertical="bottom" wrapText="0"/>
    </x:xf>
    <x:xf numFmtId="164" fontId="37" fillId="4" borderId="61" xfId="24" applyFont="1" applyBorder="1" applyAlignment="0">
      <x:alignment horizontal="general" vertical="bottom" wrapText="0"/>
    </x:xf>
    <x:xf numFmtId="164" fontId="37" fillId="4" borderId="61" xfId="24" applyFont="1" applyBorder="1" applyAlignment="1">
      <x:alignment horizontal="right" vertical="bottom" wrapText="0"/>
    </x:xf>
    <x:xf numFmtId="164" fontId="36" fillId="4" borderId="61" xfId="24" applyFont="1" applyBorder="1" applyAlignment="1">
      <x:alignment horizontal="general" vertical="top" wrapText="0"/>
    </x:xf>
    <x:xf numFmtId="164" fontId="36" fillId="4" borderId="62" xfId="24" applyFont="1" applyBorder="1" applyAlignment="1">
      <x:alignment horizontal="general" vertical="top" wrapText="0"/>
    </x:xf>
    <x:xf numFmtId="164" fontId="35" fillId="6" borderId="51" xfId="24" applyFont="1" applyBorder="1" applyAlignment="1">
      <x:alignment horizontal="right" vertical="bottom" wrapText="0"/>
    </x:xf>
    <x:xf numFmtId="164" fontId="39" fillId="0" borderId="2" xfId="24" applyFont="1" applyBorder="1" applyAlignment="1">
      <x:alignment horizontal="center" vertical="bottom" wrapText="0"/>
    </x:xf>
    <x:xf numFmtId="164" fontId="39" fillId="0" borderId="43" xfId="24" applyFont="1" applyBorder="1" applyAlignment="1">
      <x:alignment horizontal="center" vertical="bottom" wrapText="0"/>
    </x:xf>
    <x:xf numFmtId="164" fontId="40" fillId="0" borderId="0" xfId="24" applyFont="1" applyBorder="0" applyAlignment="1">
      <x:alignment horizontal="center" vertical="bottom" wrapText="0"/>
    </x:xf>
    <x:xf numFmtId="164" fontId="39" fillId="0" borderId="48" xfId="24" applyFont="1" applyBorder="1" applyAlignment="1">
      <x:alignment horizontal="center" vertical="bottom" wrapText="0"/>
    </x:xf>
    <x:xf numFmtId="164" fontId="39" fillId="0" borderId="49" xfId="24" applyFont="1" applyBorder="1" applyAlignment="1">
      <x:alignment horizontal="center" vertical="bottom" wrapText="0"/>
    </x:xf>
    <x:xf numFmtId="164" fontId="39" fillId="0" borderId="26" xfId="24" applyFont="1" applyBorder="1" applyAlignment="1">
      <x:alignment horizontal="center" vertical="bottom" wrapText="0"/>
    </x:xf>
    <x:xf numFmtId="164" fontId="39" fillId="0" borderId="41" xfId="24" applyFont="1" applyBorder="1" applyAlignment="1">
      <x:alignment horizontal="center" vertical="bottom" wrapText="0"/>
    </x:xf>
    <x:xf numFmtId="164" fontId="0" fillId="3" borderId="13" xfId="24" applyFont="0" applyBorder="1" applyAlignment="1">
      <x:alignment horizontal="general" vertical="bottom" wrapText="0"/>
    </x:xf>
    <x:xf numFmtId="164" fontId="39" fillId="0" borderId="53" xfId="24" applyFont="1" applyBorder="1" applyAlignment="1">
      <x:alignment horizontal="center" vertical="bottom" wrapText="0"/>
    </x:xf>
    <x:xf numFmtId="164" fontId="39" fillId="0" borderId="54" xfId="24" applyFont="1" applyBorder="1" applyAlignment="1">
      <x:alignment horizontal="center" vertical="bottom" wrapText="0"/>
    </x:xf>
    <x:xf numFmtId="164" fontId="41" fillId="0" borderId="55" xfId="24" applyFont="1" applyBorder="1" applyAlignment="1">
      <x:alignment horizontal="center" vertical="bottom" wrapText="0"/>
    </x:xf>
    <x:xf numFmtId="164" fontId="41" fillId="0" borderId="56" xfId="24" applyFont="1" applyBorder="1" applyAlignment="1">
      <x:alignment horizontal="center" vertical="bottom" wrapText="0"/>
    </x:xf>
    <x:xf numFmtId="164" fontId="41" fillId="0" borderId="2" xfId="24" applyFont="1" applyBorder="1" applyAlignment="1">
      <x:alignment horizontal="center" vertical="bottom" wrapText="0"/>
    </x:xf>
    <x:xf numFmtId="164" fontId="41" fillId="0" borderId="43" xfId="24" applyFont="1" applyBorder="1" applyAlignment="1">
      <x:alignment horizontal="center" vertical="bottom" wrapText="0"/>
    </x:xf>
    <x:xf numFmtId="164" fontId="33" fillId="0" borderId="0" xfId="25" applyFont="1" applyBorder="0" applyAlignment="0">
      <x:alignment horizontal="general" vertical="bottom" wrapText="0"/>
    </x:xf>
    <x:xf numFmtId="164" fontId="34" fillId="0" borderId="0" xfId="25" applyFont="1" applyBorder="0" applyAlignment="1">
      <x:alignment horizontal="left" vertical="bottom" wrapText="0"/>
    </x:xf>
    <x:xf numFmtId="164" fontId="33" fillId="0" borderId="0" xfId="25" applyFont="1" applyBorder="0" applyAlignment="1">
      <x:alignment horizontal="right" vertical="bottom" wrapText="0"/>
    </x:xf>
    <x:xf numFmtId="164" fontId="33" fillId="0" borderId="0" xfId="25" applyFont="1" applyBorder="1" applyAlignment="0">
      <x:alignment horizontal="general" vertical="bottom" wrapText="0"/>
    </x:xf>
    <x:xf numFmtId="164" fontId="34" fillId="0" borderId="0" xfId="25" applyFont="1" applyBorder="1" applyAlignment="1">
      <x:alignment horizontal="left" vertical="bottom" wrapText="0"/>
    </x:xf>
    <x:xf numFmtId="164" fontId="34" fillId="3" borderId="25" xfId="23" applyFont="1" applyBorder="1" applyAlignment="1">
      <x:alignment horizontal="left" vertical="bottom" wrapText="1"/>
    </x:xf>
    <x:xf numFmtId="164" fontId="35" fillId="3" borderId="26" xfId="23" applyFont="1" applyBorder="1" applyAlignment="1">
      <x:alignment horizontal="left" vertical="bottom" wrapText="1"/>
    </x:xf>
    <x:xf numFmtId="164" fontId="34" fillId="3" borderId="2" xfId="23" applyFont="1" applyBorder="1" applyAlignment="1">
      <x:alignment horizontal="left" vertical="bottom" wrapText="1"/>
    </x:xf>
    <x:xf numFmtId="164" fontId="35" fillId="3" borderId="27" xfId="23" applyFont="1" applyBorder="1" applyAlignment="1">
      <x:alignment horizontal="left" vertical="bottom" wrapText="1"/>
    </x:xf>
    <x:xf numFmtId="164" fontId="35" fillId="3" borderId="27" xfId="23" applyFont="1" applyBorder="1" applyAlignment="1">
      <x:alignment horizontal="general" vertical="bottom" wrapText="1"/>
    </x:xf>
    <x:xf numFmtId="164" fontId="35" fillId="3" borderId="28" xfId="23" applyFont="1" applyBorder="1" applyAlignment="1">
      <x:alignment horizontal="general" vertical="bottom" wrapText="1"/>
    </x:xf>
    <x:xf numFmtId="164" fontId="35" fillId="3" borderId="1" xfId="23" applyFont="1" applyBorder="1" applyAlignment="1">
      <x:alignment horizontal="center" vertical="bottom" wrapText="1"/>
    </x:xf>
    <x:xf numFmtId="164" fontId="35" fillId="3" borderId="13" xfId="23" applyFont="1" applyBorder="1" applyAlignment="1">
      <x:alignment horizontal="left" vertical="bottom" wrapText="1"/>
    </x:xf>
    <x:xf numFmtId="164" fontId="33" fillId="3" borderId="29" xfId="23" applyFont="1" applyBorder="1" applyAlignment="1">
      <x:alignment horizontal="center" vertical="bottom" wrapText="1"/>
    </x:xf>
    <x:xf numFmtId="166" fontId="33" fillId="0" borderId="0" xfId="25" applyFont="1" applyBorder="0" applyAlignment="0">
      <x:alignment horizontal="general" vertical="bottom" wrapText="0"/>
    </x:xf>
    <x:xf numFmtId="164" fontId="35" fillId="3" borderId="29" xfId="23" applyFont="1" applyBorder="1" applyAlignment="1">
      <x:alignment horizontal="left" vertical="bottom" wrapText="1"/>
    </x:xf>
    <x:xf numFmtId="164" fontId="34" fillId="3" borderId="25" xfId="25" applyFont="1" applyBorder="1" applyAlignment="1">
      <x:alignment horizontal="center" vertical="center" wrapText="0"/>
    </x:xf>
    <x:xf numFmtId="164" fontId="34" fillId="3" borderId="2" xfId="25" applyFont="1" applyBorder="1" applyAlignment="1">
      <x:alignment horizontal="center" vertical="center" wrapText="1"/>
    </x:xf>
    <x:xf numFmtId="164" fontId="34" fillId="3" borderId="13" xfId="25" applyFont="1" applyBorder="1" applyAlignment="1">
      <x:alignment horizontal="center" vertical="center" wrapText="1"/>
    </x:xf>
    <x:xf numFmtId="164" fontId="34" fillId="3" borderId="29" xfId="25" applyFont="1" applyBorder="1" applyAlignment="1">
      <x:alignment horizontal="center" vertical="center" wrapText="1"/>
    </x:xf>
    <x:xf numFmtId="164" fontId="33" fillId="3" borderId="30" xfId="25" applyFont="1" applyBorder="1" applyAlignment="1">
      <x:alignment horizontal="center" vertical="center" wrapText="0"/>
    </x:xf>
    <x:xf numFmtId="164" fontId="33" fillId="3" borderId="31" xfId="25" applyFont="1" applyBorder="1" applyAlignment="1">
      <x:alignment horizontal="center" vertical="center" wrapText="0"/>
    </x:xf>
    <x:xf numFmtId="164" fontId="33" fillId="3" borderId="32" xfId="25" applyFont="1" applyBorder="1" applyAlignment="1">
      <x:alignment horizontal="center" vertical="center" wrapText="0"/>
    </x:xf>
    <x:xf numFmtId="164" fontId="33" fillId="3" borderId="33" xfId="25" applyFont="1" applyBorder="1" applyAlignment="1">
      <x:alignment horizontal="center" vertical="center" wrapText="0"/>
    </x:xf>
    <x:xf numFmtId="164" fontId="33" fillId="0" borderId="34" xfId="25" applyFont="1" applyBorder="1" applyAlignment="0">
      <x:alignment horizontal="general" vertical="bottom" wrapText="0"/>
    </x:xf>
    <x:xf numFmtId="164" fontId="37" fillId="4" borderId="60" xfId="25" applyFont="1" applyBorder="1" applyAlignment="0">
      <x:alignment horizontal="general" vertical="bottom" wrapText="0"/>
    </x:xf>
    <x:xf numFmtId="164" fontId="36" fillId="4" borderId="63" xfId="25" applyFont="1" applyBorder="1" applyAlignment="1">
      <x:alignment horizontal="left" vertical="bottom" wrapText="0"/>
    </x:xf>
    <x:xf numFmtId="164" fontId="37" fillId="4" borderId="63" xfId="25" applyFont="1" applyBorder="1" applyAlignment="0">
      <x:alignment horizontal="general" vertical="bottom" wrapText="0"/>
    </x:xf>
    <x:xf numFmtId="164" fontId="37" fillId="4" borderId="63" xfId="25" applyFont="1" applyBorder="1" applyAlignment="1">
      <x:alignment horizontal="right" vertical="bottom" wrapText="0"/>
    </x:xf>
    <x:xf numFmtId="164" fontId="36" fillId="4" borderId="63" xfId="25" applyFont="1" applyBorder="1" applyAlignment="1">
      <x:alignment horizontal="general" vertical="top" wrapText="0"/>
    </x:xf>
    <x:xf numFmtId="164" fontId="36" fillId="4" borderId="64" xfId="25" applyFont="1" applyBorder="1" applyAlignment="1">
      <x:alignment horizontal="general" vertical="top" wrapText="0"/>
    </x:xf>
    <x:xf numFmtId="164" fontId="34" fillId="0" borderId="0" xfId="25" applyFont="1" applyBorder="0" applyAlignment="0">
      <x:alignment horizontal="general" vertical="bottom" wrapText="0"/>
    </x:xf>
    <x:xf numFmtId="166" fontId="33" fillId="0" borderId="0" xfId="25" applyFont="1" applyBorder="1" applyAlignment="0">
      <x:alignment horizontal="general" vertical="bottom" wrapText="0"/>
    </x:xf>
    <x:xf numFmtId="164" fontId="36" fillId="4" borderId="38" xfId="25" applyFont="1" applyBorder="1" applyAlignment="1">
      <x:alignment horizontal="general" vertical="center" wrapText="0"/>
    </x:xf>
    <x:xf numFmtId="164" fontId="34" fillId="3" borderId="1" xfId="25" applyFont="1" applyBorder="1" applyAlignment="1">
      <x:alignment horizontal="left" vertical="top" wrapText="0"/>
    </x:xf>
    <x:xf numFmtId="164" fontId="33" fillId="3" borderId="13" xfId="25" applyFont="1" applyBorder="1" applyAlignment="1">
      <x:alignment horizontal="center" vertical="top" wrapText="0"/>
    </x:xf>
    <x:xf numFmtId="164" fontId="33" fillId="3" borderId="3" xfId="25" applyFont="1" applyBorder="1" applyAlignment="1">
      <x:alignment horizontal="right" vertical="top" wrapText="0"/>
    </x:xf>
    <x:xf numFmtId="164" fontId="35" fillId="6" borderId="51" xfId="25" applyFont="1" applyBorder="1" applyAlignment="1">
      <x:alignment horizontal="right" vertical="bottom" wrapText="0"/>
    </x:xf>
    <x:xf numFmtId="164" fontId="39" fillId="0" borderId="2" xfId="25" applyFont="1" applyBorder="1" applyAlignment="1">
      <x:alignment horizontal="center" vertical="bottom" wrapText="0"/>
    </x:xf>
    <x:xf numFmtId="164" fontId="39" fillId="0" borderId="43" xfId="25" applyFont="1" applyBorder="1" applyAlignment="1">
      <x:alignment horizontal="center" vertical="bottom" wrapText="0"/>
    </x:xf>
    <x:xf numFmtId="164" fontId="36" fillId="4" borderId="42" xfId="25" applyFont="1" applyBorder="1" applyAlignment="1">
      <x:alignment horizontal="general" vertical="center" wrapText="0"/>
    </x:xf>
    <x:xf numFmtId="164" fontId="35" fillId="6" borderId="0" xfId="25" applyFont="1" applyBorder="1" applyAlignment="1">
      <x:alignment horizontal="right" vertical="bottom" wrapText="0"/>
    </x:xf>
    <x:xf numFmtId="164" fontId="33" fillId="0" borderId="0" xfId="25" applyFont="1" applyBorder="1" applyAlignment="1">
      <x:alignment horizontal="general" vertical="top" wrapText="0"/>
    </x:xf>
    <x:xf numFmtId="164" fontId="33" fillId="6" borderId="0" xfId="25" applyFont="1" applyBorder="1" applyAlignment="1">
      <x:alignment horizontal="right" vertical="bottom" wrapText="0"/>
    </x:xf>
    <x:xf numFmtId="164" fontId="40" fillId="0" borderId="0" xfId="25" applyFont="1" applyBorder="0" applyAlignment="1">
      <x:alignment horizontal="center" vertical="bottom" wrapText="0"/>
    </x:xf>
    <x:xf numFmtId="164" fontId="33" fillId="0" borderId="0" xfId="25" applyFont="1" applyBorder="1" applyAlignment="1">
      <x:alignment horizontal="right" vertical="bottom" wrapText="0"/>
    </x:xf>
    <x:xf numFmtId="164" fontId="34" fillId="3" borderId="44" xfId="25" applyFont="1" applyBorder="1" applyAlignment="1">
      <x:alignment horizontal="left" vertical="top" wrapText="0"/>
    </x:xf>
    <x:xf numFmtId="164" fontId="33" fillId="3" borderId="45" xfId="25" applyFont="1" applyBorder="1" applyAlignment="1">
      <x:alignment horizontal="center" vertical="top" wrapText="0"/>
    </x:xf>
    <x:xf numFmtId="164" fontId="33" fillId="3" borderId="46" xfId="25" applyFont="1" applyBorder="1" applyAlignment="1">
      <x:alignment horizontal="right" vertical="top" wrapText="0"/>
    </x:xf>
    <x:xf numFmtId="164" fontId="33" fillId="6" borderId="47" xfId="25" applyFont="1" applyBorder="1" applyAlignment="1">
      <x:alignment horizontal="right" vertical="bottom" wrapText="0"/>
    </x:xf>
    <x:xf numFmtId="164" fontId="39" fillId="0" borderId="48" xfId="25" applyFont="1" applyBorder="1" applyAlignment="1">
      <x:alignment horizontal="center" vertical="bottom" wrapText="0"/>
    </x:xf>
    <x:xf numFmtId="164" fontId="39" fillId="0" borderId="49" xfId="25" applyFont="1" applyBorder="1" applyAlignment="1">
      <x:alignment horizontal="center" vertical="bottom" wrapText="0"/>
    </x:xf>
    <x:xf numFmtId="164" fontId="36" fillId="4" borderId="38" xfId="25" applyFont="1" applyBorder="1" applyAlignment="1">
      <x:alignment horizontal="general" vertical="top" wrapText="0"/>
    </x:xf>
    <x:xf numFmtId="164" fontId="34" fillId="3" borderId="39" xfId="25" applyFont="1" applyBorder="1" applyAlignment="1">
      <x:alignment horizontal="general" vertical="bottom" wrapText="0"/>
    </x:xf>
    <x:xf numFmtId="164" fontId="34" fillId="3" borderId="27" xfId="25" applyFont="1" applyBorder="1" applyAlignment="1">
      <x:alignment horizontal="general" vertical="bottom" wrapText="0"/>
    </x:xf>
    <x:xf numFmtId="164" fontId="33" fillId="3" borderId="40" xfId="25" applyFont="1" applyBorder="1" applyAlignment="1">
      <x:alignment horizontal="right" vertical="bottom" wrapText="0"/>
    </x:xf>
    <x:xf numFmtId="164" fontId="33" fillId="6" borderId="26" xfId="25" applyFont="1" applyBorder="1" applyAlignment="1">
      <x:alignment horizontal="left" vertical="bottom" wrapText="0"/>
    </x:xf>
    <x:xf numFmtId="164" fontId="39" fillId="0" borderId="26" xfId="25" applyFont="1" applyBorder="1" applyAlignment="1">
      <x:alignment horizontal="center" vertical="bottom" wrapText="0"/>
    </x:xf>
    <x:xf numFmtId="164" fontId="39" fillId="0" borderId="41" xfId="25" applyFont="1" applyBorder="1" applyAlignment="1">
      <x:alignment horizontal="center" vertical="bottom" wrapText="0"/>
    </x:xf>
    <x:xf numFmtId="164" fontId="36" fillId="4" borderId="42" xfId="25" applyFont="1" applyBorder="1" applyAlignment="1">
      <x:alignment horizontal="general" vertical="top" wrapText="0"/>
    </x:xf>
    <x:xf numFmtId="164" fontId="34" fillId="3" borderId="1" xfId="25" applyFont="1" applyBorder="1" applyAlignment="1">
      <x:alignment horizontal="general" vertical="bottom" wrapText="0"/>
    </x:xf>
    <x:xf numFmtId="164" fontId="33" fillId="3" borderId="13" xfId="25" applyFont="1" applyBorder="1" applyAlignment="1">
      <x:alignment horizontal="general" vertical="bottom" wrapText="0"/>
    </x:xf>
    <x:xf numFmtId="164" fontId="33" fillId="3" borderId="3" xfId="25" applyFont="1" applyBorder="1" applyAlignment="1">
      <x:alignment horizontal="right" vertical="bottom" wrapText="0"/>
    </x:xf>
    <x:xf numFmtId="164" fontId="33" fillId="6" borderId="2" xfId="25" applyFont="1" applyBorder="1" applyAlignment="1">
      <x:alignment horizontal="left" vertical="bottom" wrapText="0"/>
    </x:xf>
    <x:xf numFmtId="164" fontId="0" fillId="3" borderId="13" xfId="25" applyFont="0" applyBorder="1" applyAlignment="1">
      <x:alignment horizontal="general" vertical="bottom" wrapText="0"/>
    </x:xf>
    <x:xf numFmtId="164" fontId="33" fillId="6" borderId="2" xfId="25" applyFont="1" applyBorder="1" applyAlignment="0">
      <x:alignment horizontal="general" vertical="bottom" wrapText="0"/>
    </x:xf>
    <x:xf numFmtId="164" fontId="34" fillId="3" borderId="50" xfId="25" applyFont="1" applyBorder="1" applyAlignment="1">
      <x:alignment horizontal="general" vertical="bottom" wrapText="0"/>
    </x:xf>
    <x:xf numFmtId="164" fontId="33" fillId="3" borderId="51" xfId="25" applyFont="1" applyBorder="1" applyAlignment="1">
      <x:alignment horizontal="general" vertical="bottom" wrapText="0"/>
    </x:xf>
    <x:xf numFmtId="164" fontId="33" fillId="3" borderId="52" xfId="25" applyFont="1" applyBorder="1" applyAlignment="1">
      <x:alignment horizontal="right" vertical="bottom" wrapText="0"/>
    </x:xf>
    <x:xf numFmtId="164" fontId="33" fillId="6" borderId="53" xfId="25" applyFont="1" applyBorder="1" applyAlignment="1">
      <x:alignment horizontal="left" vertical="bottom" wrapText="0"/>
    </x:xf>
    <x:xf numFmtId="164" fontId="39" fillId="0" borderId="53" xfId="25" applyFont="1" applyBorder="1" applyAlignment="1">
      <x:alignment horizontal="center" vertical="bottom" wrapText="0"/>
    </x:xf>
    <x:xf numFmtId="164" fontId="39" fillId="0" borderId="54" xfId="25" applyFont="1" applyBorder="1" applyAlignment="1">
      <x:alignment horizontal="center" vertical="bottom" wrapText="0"/>
    </x:xf>
    <x:xf numFmtId="164" fontId="33" fillId="0" borderId="55" xfId="25" applyFont="1" applyBorder="1" applyAlignment="1">
      <x:alignment horizontal="left" vertical="bottom" wrapText="0"/>
    </x:xf>
    <x:xf numFmtId="164" fontId="41" fillId="0" borderId="55" xfId="25" applyFont="1" applyBorder="1" applyAlignment="1">
      <x:alignment horizontal="center" vertical="bottom" wrapText="0"/>
    </x:xf>
    <x:xf numFmtId="164" fontId="41" fillId="0" borderId="56" xfId="25" applyFont="1" applyBorder="1" applyAlignment="1">
      <x:alignment horizontal="center" vertical="bottom" wrapText="0"/>
    </x:xf>
    <x:xf numFmtId="164" fontId="36" fillId="4" borderId="65" xfId="25" applyFont="1" applyBorder="1" applyAlignment="1">
      <x:alignment horizontal="general" vertical="top" wrapText="0"/>
    </x:xf>
    <x:xf numFmtId="164" fontId="33" fillId="0" borderId="2" xfId="25" applyFont="1" applyBorder="1" applyAlignment="1">
      <x:alignment horizontal="left" vertical="bottom" wrapText="0"/>
    </x:xf>
    <x:xf numFmtId="164" fontId="38" fillId="0" borderId="2" xfId="25" applyFont="1" applyBorder="1" applyAlignment="1">
      <x:alignment horizontal="left" vertical="bottom" wrapText="0"/>
    </x:xf>
    <x:xf numFmtId="164" fontId="41" fillId="0" borderId="2" xfId="25" applyFont="1" applyBorder="1" applyAlignment="1">
      <x:alignment horizontal="center" vertical="bottom" wrapText="0"/>
    </x:xf>
    <x:xf numFmtId="164" fontId="41" fillId="0" borderId="43" xfId="25" applyFont="1" applyBorder="1" applyAlignment="1">
      <x:alignment horizontal="center" vertical="bottom" wrapText="0"/>
    </x:xf>
    <x:xf numFmtId="164" fontId="33" fillId="0" borderId="2" xfId="25" applyFont="1" applyBorder="1" applyAlignment="1">
      <x:alignment horizontal="left" vertical="top" wrapText="0"/>
    </x:xf>
    <x:xf numFmtId="164" fontId="33" fillId="0" borderId="2" xfId="25" applyFont="1" applyBorder="1" applyAlignment="0">
      <x:alignment horizontal="general" vertical="bottom" wrapText="0"/>
    </x:xf>
    <x:xf numFmtId="173" fontId="33" fillId="0" borderId="2" xfId="25" applyFont="1" applyBorder="1" applyAlignment="1">
      <x:alignment horizontal="general" vertical="top" wrapText="0"/>
    </x:xf>
    <x:xf numFmtId="173" fontId="33" fillId="0" borderId="43" xfId="25" applyFont="1" applyBorder="1" applyAlignment="1">
      <x:alignment horizontal="general" vertical="top" wrapText="0"/>
    </x:xf>
    <x:xf numFmtId="164" fontId="36" fillId="4" borderId="66" xfId="25" applyFont="1" applyBorder="1" applyAlignment="1">
      <x:alignment horizontal="general" vertical="top" wrapText="0"/>
    </x:xf>
    <x:xf numFmtId="164" fontId="33" fillId="0" borderId="48" xfId="25" applyFont="1" applyBorder="1" applyAlignment="1">
      <x:alignment horizontal="left" vertical="top" wrapText="0"/>
    </x:xf>
    <x:xf numFmtId="164" fontId="33" fillId="0" borderId="48" xfId="25" applyFont="1" applyBorder="1" applyAlignment="0">
      <x:alignment horizontal="general" vertical="bottom" wrapText="0"/>
    </x:xf>
    <x:xf numFmtId="164" fontId="33" fillId="0" borderId="48" xfId="25" applyFont="1" applyBorder="1" applyAlignment="1">
      <x:alignment horizontal="general" vertical="bottom" wrapText="0"/>
    </x:xf>
    <x:xf numFmtId="164" fontId="33" fillId="0" borderId="49" xfId="25" applyFont="1" applyBorder="1" applyAlignment="1">
      <x:alignment horizontal="general" vertical="bottom" wrapText="0"/>
    </x:xf>
    <x:xf numFmtId="164" fontId="36" fillId="4" borderId="63" xfId="24" applyFont="1" applyBorder="1" applyAlignment="1">
      <x:alignment horizontal="left" vertical="bottom" wrapText="0"/>
    </x:xf>
    <x:xf numFmtId="164" fontId="37" fillId="4" borderId="63" xfId="24" applyFont="1" applyBorder="1" applyAlignment="0">
      <x:alignment horizontal="general" vertical="bottom" wrapText="0"/>
    </x:xf>
    <x:xf numFmtId="164" fontId="37" fillId="4" borderId="63" xfId="24" applyFont="1" applyBorder="1" applyAlignment="1">
      <x:alignment horizontal="right" vertical="bottom" wrapText="0"/>
    </x:xf>
    <x:xf numFmtId="164" fontId="36" fillId="4" borderId="63" xfId="24" applyFont="1" applyBorder="1" applyAlignment="1">
      <x:alignment horizontal="general" vertical="top" wrapText="0"/>
    </x:xf>
    <x:xf numFmtId="164" fontId="36" fillId="4" borderId="64" xfId="24" applyFont="1" applyBorder="1" applyAlignment="1">
      <x:alignment horizontal="general" vertical="top" wrapText="0"/>
    </x:xf>
    <x:xf numFmtId="164" fontId="34" fillId="3" borderId="1" xfId="24" applyFont="1" applyBorder="1" applyAlignment="1">
      <x:alignment horizontal="right" vertical="bottom" wrapText="0"/>
    </x:xf>
    <x:xf numFmtId="164" fontId="36" fillId="4" borderId="65" xfId="24" applyFont="1" applyBorder="1" applyAlignment="1">
      <x:alignment horizontal="general" vertical="top" wrapText="0"/>
    </x:xf>
    <x:xf numFmtId="164" fontId="36" fillId="4" borderId="66" xfId="24" applyFont="1" applyBorder="1" applyAlignment="1">
      <x:alignment horizontal="general" vertical="top" wrapText="0"/>
    </x:xf>
    <x:xf numFmtId="164" fontId="0" fillId="0" borderId="67" xfId="0" applyNumberFormat="1" applyFont="1" applyFill="1" applyBorder="1" applyAlignment="1">
      <x:alignment horizontal="general" vertical="center" wrapText="0"/>
    </x:xf>
    <x:xf numFmtId="164" fontId="5" fillId="2" borderId="67" xfId="0" applyNumberFormat="1" applyFont="1" applyFill="1" applyBorder="1" applyAlignment="1">
      <x:alignment horizontal="general" vertical="center" wrapText="0"/>
    </x:xf>
    <x:xf numFmtId="164" fontId="6" fillId="2" borderId="67" xfId="0" applyNumberFormat="1" applyFont="1" applyFill="1" applyBorder="1" applyAlignment="1">
      <x:alignment horizontal="center" vertical="bottom" wrapText="0"/>
    </x:xf>
    <x:xf numFmtId="164" fontId="7" fillId="2" borderId="67" xfId="0" applyNumberFormat="1" applyFont="1" applyFill="1" applyBorder="1" applyAlignment="1">
      <x:alignment horizontal="justify" vertical="bottom" wrapText="0"/>
    </x:xf>
    <x:xf numFmtId="164" fontId="8" fillId="2" borderId="67" xfId="0" applyNumberFormat="1" applyFont="1" applyFill="1" applyBorder="1" applyAlignment="1">
      <x:alignment horizontal="justify" vertical="bottom" wrapText="0"/>
    </x:xf>
    <x:xf numFmtId="164" fontId="8" fillId="2" borderId="67" xfId="0" applyNumberFormat="1" applyFont="1" applyFill="1" applyBorder="1" applyAlignment="1">
      <x:alignment horizontal="justify" vertical="bottom" wrapText="1"/>
    </x:xf>
    <x:xf numFmtId="164" fontId="8" fillId="2" borderId="67" xfId="0" applyNumberFormat="1" applyFont="1" applyFill="1" applyBorder="1" applyAlignment="1">
      <x:alignment horizontal="left" vertical="bottom" wrapText="1"/>
    </x:xf>
    <x:xf numFmtId="164" fontId="10" fillId="2" borderId="67" xfId="0" applyNumberFormat="1" applyFont="1" applyFill="1" applyBorder="1" applyAlignment="1">
      <x:alignment horizontal="justify" vertical="bottom" wrapText="0"/>
    </x:xf>
    <x:xf numFmtId="164" fontId="9" fillId="2" borderId="67" xfId="0" applyNumberFormat="1" applyFont="1" applyFill="1" applyBorder="1" applyAlignment="1">
      <x:alignment horizontal="justify" vertical="bottom" wrapText="0"/>
    </x:xf>
    <x:xf numFmtId="164" fontId="8" fillId="0" borderId="67" xfId="0" applyNumberFormat="1" applyFont="1" applyFill="1" applyBorder="1" applyAlignment="1">
      <x:alignment horizontal="left" vertical="bottom" wrapText="0"/>
    </x:xf>
    <x:xf numFmtId="164" fontId="8" fillId="0" borderId="67" xfId="0" applyNumberFormat="1" applyFont="1" applyFill="1" applyBorder="1" applyAlignment="1">
      <x:alignment horizontal="general" vertical="bottom" wrapText="0"/>
    </x:xf>
    <x:xf numFmtId="164" fontId="12" fillId="0" borderId="68" xfId="0" applyNumberFormat="1" applyFont="1" applyFill="1" applyBorder="1" applyAlignment="1">
      <x:alignment horizontal="center" vertical="center" wrapText="0"/>
    </x:xf>
    <x:xf numFmtId="164" fontId="13" fillId="0" borderId="69" xfId="0" applyNumberFormat="1" applyFont="1" applyFill="1" applyBorder="1" applyAlignment="1">
      <x:alignment horizontal="center" vertical="center" wrapText="0"/>
    </x:xf>
    <x:xf numFmtId="164" fontId="14" fillId="3" borderId="67" xfId="0" applyNumberFormat="1" applyFont="1" applyFill="1" applyBorder="1" applyAlignment="1">
      <x:alignment horizontal="left" vertical="bottom" wrapText="0"/>
    </x:xf>
    <x:xf numFmtId="164" fontId="15" fillId="0" borderId="67" xfId="0" applyNumberFormat="1" applyFont="1" applyFill="1" applyBorder="1" applyAlignment="1">
      <x:alignment horizontal="left" vertical="bottom" wrapText="0"/>
    </x:xf>
    <x:xf numFmtId="164" fontId="8" fillId="3" borderId="67" xfId="0" applyNumberFormat="1" applyFont="1" applyFill="1" applyBorder="1" applyAlignment="1">
      <x:alignment horizontal="general" vertical="bottom" wrapText="0"/>
    </x:xf>
    <x:xf numFmtId="164" fontId="9" fillId="3" borderId="69" xfId="0" applyNumberFormat="1" applyFont="1" applyFill="1" applyBorder="1" applyAlignment="1">
      <x:alignment horizontal="left" vertical="bottom" wrapText="0"/>
    </x:xf>
    <x:xf numFmtId="164" fontId="10" fillId="0" borderId="69" xfId="0" applyNumberFormat="1" applyFont="1" applyFill="1" applyBorder="1" applyAlignment="1">
      <x:alignment horizontal="left" vertical="bottom" wrapText="0"/>
    </x:xf>
    <x:xf numFmtId="164" fontId="8" fillId="0" borderId="70" xfId="0" applyNumberFormat="1" applyFont="1" applyFill="1" applyBorder="1" applyAlignment="1">
      <x:alignment horizontal="general" vertical="bottom" wrapText="0"/>
    </x:xf>
    <x:xf numFmtId="164" fontId="9" fillId="3" borderId="69" xfId="0" applyNumberFormat="1" applyFont="1" applyFill="1" applyBorder="1" applyAlignment="1">
      <x:alignment horizontal="left" vertical="center" wrapText="0"/>
    </x:xf>
    <x:xf numFmtId="164" fontId="10" fillId="0" borderId="69" xfId="0" applyNumberFormat="1" applyFont="1" applyFill="1" applyBorder="1" applyAlignment="1">
      <x:alignment horizontal="left" vertical="center" wrapText="0"/>
    </x:xf>
    <x:xf numFmtId="164" fontId="10" fillId="0" borderId="70" xfId="0" applyNumberFormat="1" applyFont="1" applyFill="1" applyBorder="1" applyAlignment="1">
      <x:alignment horizontal="general" vertical="bottom" wrapText="0"/>
    </x:xf>
    <x:xf numFmtId="164" fontId="10" fillId="0" borderId="70" xfId="0" applyNumberFormat="1" applyFont="1" applyFill="1" applyBorder="1" applyAlignment="1">
      <x:alignment horizontal="left" vertical="bottom" wrapText="0"/>
    </x:xf>
    <x:xf numFmtId="164" fontId="9" fillId="0" borderId="67" xfId="0" applyNumberFormat="1" applyFont="1" applyFill="1" applyBorder="1" applyAlignment="1">
      <x:alignment horizontal="general" vertical="bottom" wrapText="0"/>
    </x:xf>
    <x:xf numFmtId="164" fontId="14" fillId="0" borderId="67" xfId="0" applyNumberFormat="1" applyFont="1" applyFill="1" applyBorder="1" applyAlignment="1">
      <x:alignment horizontal="left" vertical="bottom" wrapText="0"/>
    </x:xf>
    <x:xf numFmtId="164" fontId="9" fillId="0" borderId="67" xfId="0" applyNumberFormat="1" applyFont="1" applyFill="1" applyBorder="1" applyAlignment="1">
      <x:alignment horizontal="left" vertical="bottom" wrapText="0"/>
    </x:xf>
    <x:xf numFmtId="165" fontId="16" fillId="4" borderId="71" xfId="0" applyNumberFormat="1" applyFont="1" applyFill="1" applyBorder="1" applyAlignment="1">
      <x:alignment horizontal="center" vertical="center" wrapText="0"/>
    </x:xf>
    <x:xf numFmtId="164" fontId="16" fillId="4" borderId="72" xfId="0" applyNumberFormat="1" applyFont="1" applyFill="1" applyBorder="1" applyAlignment="1">
      <x:alignment horizontal="center" vertical="center" wrapText="0"/>
    </x:xf>
    <x:xf numFmtId="164" fontId="16" fillId="4" borderId="73" xfId="0" applyNumberFormat="1" applyFont="1" applyFill="1" applyBorder="1" applyAlignment="1">
      <x:alignment horizontal="center" vertical="center" wrapText="0"/>
    </x:xf>
    <x:xf numFmtId="164" fontId="10" fillId="0" borderId="74" xfId="0" applyNumberFormat="1" applyFont="1" applyFill="1" applyBorder="1" applyAlignment="1">
      <x:alignment horizontal="general" vertical="top" wrapText="1"/>
    </x:xf>
    <x:xf numFmtId="166" fontId="8" fillId="0" borderId="75" xfId="0" applyNumberFormat="1" applyFont="1" applyFill="1" applyBorder="1" applyAlignment="1">
      <x:alignment horizontal="general" vertical="top" wrapText="0"/>
    </x:xf>
    <x:xf numFmtId="164" fontId="8" fillId="0" borderId="75" xfId="0" applyNumberFormat="1" applyFont="1" applyFill="1" applyBorder="1" applyAlignment="1">
      <x:alignment horizontal="general" vertical="top" wrapText="0"/>
    </x:xf>
    <x:xf numFmtId="167" fontId="8" fillId="0" borderId="75" xfId="0" applyNumberFormat="1" applyFont="1" applyFill="1" applyBorder="1" applyAlignment="1">
      <x:alignment horizontal="general" vertical="top" wrapText="0"/>
    </x:xf>
    <x:xf numFmtId="164" fontId="10" fillId="0" borderId="76" xfId="0" applyNumberFormat="1" applyFont="1" applyFill="1" applyBorder="1" applyAlignment="1">
      <x:alignment horizontal="general" vertical="top" wrapText="1"/>
    </x:xf>
    <x:xf numFmtId="165" fontId="8" fillId="0" borderId="74" xfId="0" applyNumberFormat="1" applyFont="1" applyFill="1" applyBorder="1" applyAlignment="1">
      <x:alignment horizontal="general" vertical="top" wrapText="0"/>
    </x:xf>
    <x:xf numFmtId="164" fontId="8" fillId="0" borderId="76" xfId="0" applyNumberFormat="1" applyFont="1" applyFill="1" applyBorder="1" applyAlignment="1">
      <x:alignment horizontal="general" vertical="top" wrapText="0"/>
    </x:xf>
    <x:xf numFmtId="165" fontId="8" fillId="0" borderId="77" xfId="0" applyNumberFormat="1" applyFont="1" applyFill="1" applyBorder="1" applyAlignment="1">
      <x:alignment horizontal="general" vertical="top" wrapText="0"/>
    </x:xf>
    <x:xf numFmtId="166" fontId="8" fillId="0" borderId="78" xfId="0" applyNumberFormat="1" applyFont="1" applyFill="1" applyBorder="1" applyAlignment="1">
      <x:alignment horizontal="general" vertical="top" wrapText="0"/>
    </x:xf>
    <x:xf numFmtId="164" fontId="8" fillId="0" borderId="78" xfId="0" applyNumberFormat="1" applyFont="1" applyFill="1" applyBorder="1" applyAlignment="1">
      <x:alignment horizontal="general" vertical="top" wrapText="0"/>
    </x:xf>
    <x:xf numFmtId="164" fontId="8" fillId="0" borderId="79" xfId="0" applyNumberFormat="1" applyFont="1" applyFill="1" applyBorder="1" applyAlignment="1">
      <x:alignment horizontal="general" vertical="top" wrapText="0"/>
    </x:xf>
    <x:xf numFmtId="168" fontId="8" fillId="3" borderId="67" xfId="0" applyNumberFormat="1" applyFont="1" applyFill="1" applyBorder="1" applyAlignment="1">
      <x:alignment horizontal="general" vertical="bottom" wrapText="0"/>
    </x:xf>
    <x:xf numFmtId="164" fontId="8" fillId="3" borderId="67" xfId="0" applyNumberFormat="1" applyFont="1" applyFill="1" applyBorder="1" applyAlignment="1">
      <x:alignment horizontal="left" vertical="bottom" wrapText="0"/>
    </x:xf>
    <x:xf numFmtId="164" fontId="8" fillId="3" borderId="67" xfId="0" applyNumberFormat="1" applyFont="1" applyFill="1" applyBorder="1" applyAlignment="1">
      <x:alignment horizontal="left" vertical="bottom" wrapText="1"/>
    </x:xf>
    <x:xf numFmtId="164" fontId="13" fillId="3" borderId="67" xfId="0" applyNumberFormat="1" applyFont="1" applyFill="1" applyBorder="1" applyAlignment="1">
      <x:alignment horizontal="left" vertical="bottom" wrapText="0"/>
    </x:xf>
    <x:xf numFmtId="164" fontId="19" fillId="3" borderId="67" xfId="0" applyNumberFormat="1" applyFont="1" applyFill="1" applyBorder="1" applyAlignment="1">
      <x:alignment horizontal="left" vertical="bottom" wrapText="0"/>
    </x:xf>
    <x:xf numFmtId="164" fontId="20" fillId="3" borderId="67" xfId="0" applyNumberFormat="1" applyFont="1" applyFill="1" applyBorder="1" applyAlignment="1">
      <x:alignment horizontal="left" vertical="bottom" wrapText="0"/>
    </x:xf>
    <x:xf numFmtId="168" fontId="9" fillId="3" borderId="68" xfId="0" applyNumberFormat="1" applyFont="1" applyFill="1" applyBorder="1" applyAlignment="1">
      <x:alignment horizontal="general" vertical="bottom" wrapText="0"/>
    </x:xf>
    <x:xf numFmtId="164" fontId="10" fillId="3" borderId="69" xfId="0" applyNumberFormat="1" applyFont="1" applyFill="1" applyBorder="1" applyAlignment="1">
      <x:alignment horizontal="left" vertical="bottom" wrapText="0"/>
    </x:xf>
    <x:xf numFmtId="168" fontId="9" fillId="3" borderId="69" xfId="0" applyNumberFormat="1" applyFont="1" applyFill="1" applyBorder="1" applyAlignment="1">
      <x:alignment horizontal="left" vertical="bottom" wrapText="0"/>
    </x:xf>
    <x:xf numFmtId="164" fontId="10" fillId="3" borderId="68" xfId="0" applyNumberFormat="1" applyFont="1" applyFill="1" applyBorder="1" applyAlignment="1">
      <x:alignment horizontal="left" vertical="bottom" wrapText="0"/>
    </x:xf>
    <x:xf numFmtId="164" fontId="10" fillId="3" borderId="80" xfId="0" applyNumberFormat="1" applyFont="1" applyFill="1" applyBorder="1" applyAlignment="1">
      <x:alignment horizontal="left" vertical="bottom" wrapText="0"/>
    </x:xf>
    <x:xf numFmtId="164" fontId="10" fillId="3" borderId="70" xfId="0" applyNumberFormat="1" applyFont="1" applyFill="1" applyBorder="1" applyAlignment="1">
      <x:alignment horizontal="left" vertical="bottom" wrapText="0"/>
    </x:xf>
    <x:xf numFmtId="168" fontId="9" fillId="3" borderId="69" xfId="0" applyNumberFormat="1" applyFont="1" applyFill="1" applyBorder="1" applyAlignment="1">
      <x:alignment horizontal="general" vertical="center" wrapText="1"/>
    </x:xf>
    <x:xf numFmtId="164" fontId="10" fillId="3" borderId="69" xfId="0" applyNumberFormat="1" applyFont="1" applyFill="1" applyBorder="1" applyAlignment="1">
      <x:alignment horizontal="left" vertical="top" wrapText="1"/>
    </x:xf>
    <x:xf numFmtId="168" fontId="14" fillId="3" borderId="67" xfId="0" applyNumberFormat="1" applyFont="1" applyFill="1" applyBorder="1" applyAlignment="1">
      <x:alignment horizontal="general" vertical="bottom" wrapText="0"/>
    </x:xf>
    <x:xf numFmtId="164" fontId="8" fillId="3" borderId="67" xfId="0" applyNumberFormat="1" applyFont="1" applyFill="1" applyBorder="1" applyAlignment="1">
      <x:alignment horizontal="general" vertical="bottom" wrapText="1"/>
    </x:xf>
    <x:xf numFmtId="168" fontId="8" fillId="3" borderId="67" xfId="0" applyNumberFormat="1" applyFont="1" applyFill="1" applyBorder="1" applyAlignment="1">
      <x:alignment horizontal="general" vertical="center" wrapText="0"/>
    </x:xf>
    <x:xf numFmtId="164" fontId="8" fillId="3" borderId="67" xfId="0" applyNumberFormat="1" applyFont="1" applyFill="1" applyBorder="1" applyAlignment="1">
      <x:alignment horizontal="left" vertical="center" wrapText="0"/>
    </x:xf>
    <x:xf numFmtId="164" fontId="8" fillId="3" borderId="67" xfId="0" applyNumberFormat="1" applyFont="1" applyFill="1" applyBorder="1" applyAlignment="1">
      <x:alignment horizontal="left" vertical="center" wrapText="1"/>
    </x:xf>
    <x:xf numFmtId="168" fontId="16" fillId="5" borderId="71" xfId="0" applyNumberFormat="1" applyFont="1" applyFill="1" applyBorder="1" applyAlignment="1">
      <x:alignment horizontal="center" vertical="center" wrapText="0"/>
    </x:xf>
    <x:xf numFmtId="168" fontId="16" fillId="5" borderId="81" xfId="0" applyNumberFormat="1" applyFont="1" applyFill="1" applyBorder="1" applyAlignment="1">
      <x:alignment horizontal="center" vertical="center" wrapText="1"/>
    </x:xf>
    <x:xf numFmtId="168" fontId="16" fillId="5" borderId="81" xfId="0" applyNumberFormat="1" applyFont="1" applyFill="1" applyBorder="1" applyAlignment="1">
      <x:alignment horizontal="center" vertical="center" wrapText="0"/>
    </x:xf>
    <x:xf numFmtId="164" fontId="16" fillId="5" borderId="72" xfId="0" applyNumberFormat="1" applyFont="1" applyFill="1" applyBorder="1" applyAlignment="1">
      <x:alignment horizontal="center" vertical="center" wrapText="0"/>
    </x:xf>
    <x:xf numFmtId="164" fontId="16" fillId="5" borderId="72" xfId="0" applyNumberFormat="1" applyFont="1" applyFill="1" applyBorder="1" applyAlignment="1">
      <x:alignment horizontal="center" vertical="center" wrapText="1"/>
    </x:xf>
    <x:xf numFmtId="164" fontId="16" fillId="5" borderId="82" xfId="0" applyNumberFormat="1" applyFont="1" applyFill="1" applyBorder="1" applyAlignment="1">
      <x:alignment horizontal="center" vertical="center" wrapText="0"/>
    </x:xf>
    <x:xf numFmtId="164" fontId="16" fillId="5" borderId="73" xfId="0" applyNumberFormat="1" applyFont="1" applyFill="1" applyBorder="1" applyAlignment="1">
      <x:alignment horizontal="center" vertical="center" wrapText="0"/>
    </x:xf>
    <x:xf numFmtId="168" fontId="8" fillId="3" borderId="74" xfId="0" applyNumberFormat="1" applyFont="1" applyFill="1" applyBorder="1" applyAlignment="1">
      <x:alignment horizontal="center" vertical="center" wrapText="0"/>
    </x:xf>
    <x:xf numFmtId="168" fontId="8" fillId="3" borderId="83" xfId="0" applyNumberFormat="1" applyFont="1" applyFill="1" applyBorder="1" applyAlignment="1">
      <x:alignment horizontal="general" vertical="center" wrapText="0"/>
    </x:xf>
    <x:xf numFmtId="166" fontId="8" fillId="3" borderId="75" xfId="0" applyNumberFormat="1" applyFont="1" applyFill="1" applyBorder="1" applyAlignment="1">
      <x:alignment horizontal="left" vertical="center" wrapText="0"/>
    </x:xf>
    <x:xf numFmtId="166" fontId="8" fillId="3" borderId="75" xfId="0" applyNumberFormat="1" applyFont="1" applyFill="1" applyBorder="1" applyAlignment="1">
      <x:alignment horizontal="left" vertical="center" wrapText="1"/>
    </x:xf>
    <x:xf numFmtId="164" fontId="21" fillId="3" borderId="75" xfId="0" applyNumberFormat="1" applyFont="1" applyFill="1" applyBorder="1" applyAlignment="1">
      <x:alignment horizontal="left" vertical="center" wrapText="0"/>
    </x:xf>
    <x:xf numFmtId="164" fontId="8" fillId="3" borderId="76" xfId="0" applyNumberFormat="1" applyFont="1" applyFill="1" applyBorder="1" applyAlignment="1">
      <x:alignment horizontal="left" vertical="center" wrapText="0"/>
    </x:xf>
    <x:xf numFmtId="164" fontId="8" fillId="3" borderId="75" xfId="0" applyNumberFormat="1" applyFont="1" applyFill="1" applyBorder="1" applyAlignment="1">
      <x:alignment horizontal="left" vertical="center" wrapText="0"/>
    </x:xf>
    <x:xf numFmtId="168" fontId="8" fillId="3" borderId="77" xfId="0" applyNumberFormat="1" applyFont="1" applyFill="1" applyBorder="1" applyAlignment="1">
      <x:alignment horizontal="center" vertical="center" wrapText="0"/>
    </x:xf>
    <x:xf numFmtId="168" fontId="8" fillId="3" borderId="84" xfId="0" applyNumberFormat="1" applyFont="1" applyFill="1" applyBorder="1" applyAlignment="1">
      <x:alignment horizontal="general" vertical="center" wrapText="0"/>
    </x:xf>
    <x:xf numFmtId="166" fontId="8" fillId="3" borderId="78" xfId="0" applyNumberFormat="1" applyFont="1" applyFill="1" applyBorder="1" applyAlignment="1">
      <x:alignment horizontal="left" vertical="center" wrapText="0"/>
    </x:xf>
    <x:xf numFmtId="166" fontId="8" fillId="3" borderId="78" xfId="0" applyNumberFormat="1" applyFont="1" applyFill="1" applyBorder="1" applyAlignment="1">
      <x:alignment horizontal="left" vertical="center" wrapText="1"/>
    </x:xf>
    <x:xf numFmtId="164" fontId="8" fillId="3" borderId="78" xfId="0" applyNumberFormat="1" applyFont="1" applyFill="1" applyBorder="1" applyAlignment="1">
      <x:alignment horizontal="left" vertical="center" wrapText="0"/>
    </x:xf>
    <x:xf numFmtId="164" fontId="8" fillId="3" borderId="79" xfId="0" applyNumberFormat="1" applyFont="1" applyFill="1" applyBorder="1" applyAlignment="1">
      <x:alignment horizontal="left" vertical="center" wrapText="0"/>
    </x:xf>
    <x:xf numFmtId="164" fontId="13" fillId="3" borderId="67" xfId="0" applyNumberFormat="1" applyFont="1" applyFill="1" applyBorder="1" applyAlignment="1">
      <x:alignment horizontal="center" vertical="bottom" wrapText="0"/>
    </x:xf>
    <x:xf numFmtId="164" fontId="9" fillId="3" borderId="67" xfId="0" applyNumberFormat="1" applyFont="1" applyFill="1" applyBorder="1" applyAlignment="1">
      <x:alignment horizontal="general" vertical="bottom" wrapText="0"/>
    </x:xf>
    <x:xf numFmtId="165" fontId="8" fillId="3" borderId="67" xfId="0" applyNumberFormat="1" applyFont="1" applyFill="1" applyBorder="1" applyAlignment="1">
      <x:alignment horizontal="general" vertical="bottom" wrapText="0"/>
    </x:xf>
    <x:xf numFmtId="164" fontId="9" fillId="3" borderId="69" xfId="0" applyNumberFormat="1" applyFont="1" applyFill="1" applyBorder="1" applyAlignment="1">
      <x:alignment horizontal="center" vertical="bottom" wrapText="0"/>
    </x:xf>
    <x:xf numFmtId="164" fontId="9" fillId="3" borderId="69" xfId="0" applyNumberFormat="1" applyFont="1" applyFill="1" applyBorder="1" applyAlignment="1">
      <x:alignment horizontal="general" vertical="center" wrapText="0"/>
    </x:xf>
    <x:xf numFmtId="169" fontId="10" fillId="3" borderId="69" xfId="0" applyNumberFormat="1" applyFont="1" applyFill="1" applyBorder="1" applyAlignment="1">
      <x:alignment horizontal="left" vertical="top" wrapText="0"/>
    </x:xf>
    <x:xf numFmtId="164" fontId="10" fillId="3" borderId="69" xfId="0" applyNumberFormat="1" applyFont="1" applyFill="1" applyBorder="1" applyAlignment="1">
      <x:alignment horizontal="general" vertical="top" wrapText="0"/>
    </x:xf>
    <x:xf numFmtId="164" fontId="14" fillId="3" borderId="67" xfId="0" applyNumberFormat="1" applyFont="1" applyFill="1" applyBorder="1" applyAlignment="1">
      <x:alignment horizontal="general" vertical="bottom" wrapText="0"/>
    </x:xf>
    <x:xf numFmtId="164" fontId="15" fillId="3" borderId="67" xfId="0" applyNumberFormat="1" applyFont="1" applyFill="1" applyBorder="1" applyAlignment="1">
      <x:alignment horizontal="general" vertical="bottom" wrapText="0"/>
    </x:xf>
    <x:xf numFmtId="164" fontId="16" fillId="4" borderId="81" xfId="0" applyNumberFormat="1" applyFont="1" applyFill="1" applyBorder="1" applyAlignment="1">
      <x:alignment horizontal="center" vertical="bottom" wrapText="0"/>
    </x:xf>
    <x:xf numFmtId="164" fontId="16" fillId="4" borderId="72" xfId="0" applyNumberFormat="1" applyFont="1" applyFill="1" applyBorder="1" applyAlignment="1">
      <x:alignment horizontal="center" vertical="bottom" wrapText="0"/>
    </x:xf>
    <x:xf numFmtId="164" fontId="16" fillId="4" borderId="72" xfId="0" applyNumberFormat="1" applyFont="1" applyFill="1" applyBorder="1" applyAlignment="1">
      <x:alignment horizontal="center" vertical="bottom" wrapText="1"/>
    </x:xf>
    <x:xf numFmtId="164" fontId="16" fillId="4" borderId="82" xfId="0" applyNumberFormat="1" applyFont="1" applyFill="1" applyBorder="1" applyAlignment="1">
      <x:alignment horizontal="center" vertical="bottom" wrapText="0"/>
    </x:xf>
    <x:xf numFmtId="164" fontId="16" fillId="4" borderId="85" xfId="0" applyNumberFormat="1" applyFont="1" applyFill="1" applyBorder="1" applyAlignment="1">
      <x:alignment horizontal="center" vertical="bottom" wrapText="1"/>
    </x:xf>
    <x:xf numFmtId="164" fontId="8" fillId="3" borderId="83" xfId="0" applyNumberFormat="1" applyFont="1" applyFill="1" applyBorder="1" applyAlignment="1">
      <x:alignment horizontal="center" vertical="bottom" wrapText="0"/>
    </x:xf>
    <x:xf numFmtId="166" fontId="21" fillId="3" borderId="75" xfId="0" applyNumberFormat="1" applyFont="1" applyFill="1" applyBorder="1" applyAlignment="1">
      <x:alignment horizontal="general" vertical="bottom" wrapText="0"/>
    </x:xf>
    <x:xf numFmtId="164" fontId="8" fillId="3" borderId="75" xfId="0" applyNumberFormat="1" applyFont="1" applyFill="1" applyBorder="1" applyAlignment="1">
      <x:alignment horizontal="center" vertical="bottom" wrapText="0"/>
    </x:xf>
    <x:xf numFmtId="164" fontId="8" fillId="3" borderId="86" xfId="0" applyNumberFormat="1" applyFont="1" applyFill="1" applyBorder="1" applyAlignment="1">
      <x:alignment horizontal="center" vertical="bottom" wrapText="0"/>
    </x:xf>
    <x:xf numFmtId="166" fontId="23" fillId="3" borderId="75" xfId="0" applyNumberFormat="1" applyFont="1" applyFill="1" applyBorder="1" applyAlignment="1">
      <x:alignment horizontal="general" vertical="bottom" wrapText="0"/>
    </x:xf>
    <x:xf numFmtId="164" fontId="24" fillId="4" borderId="84" xfId="0" applyNumberFormat="1" applyFont="1" applyFill="1" applyBorder="1" applyAlignment="1">
      <x:alignment horizontal="center" vertical="bottom" wrapText="0"/>
    </x:xf>
    <x:xf numFmtId="164" fontId="25" fillId="4" borderId="67" xfId="0" applyNumberFormat="1" applyFont="1" applyFill="1" applyBorder="1" applyAlignment="1">
      <x:alignment horizontal="general" vertical="center" wrapText="0"/>
    </x:xf>
    <x:xf numFmtId="164" fontId="24" fillId="4" borderId="78" xfId="0" applyNumberFormat="1" applyFont="1" applyFill="1" applyBorder="1" applyAlignment="1">
      <x:alignment horizontal="center" vertical="bottom" wrapText="0"/>
    </x:xf>
    <x:xf numFmtId="164" fontId="8" fillId="3" borderId="67" xfId="0" applyNumberFormat="1" applyFont="1" applyFill="1" applyBorder="1" applyAlignment="1">
      <x:alignment horizontal="center" vertical="bottom" wrapText="0"/>
    </x:xf>
    <x:xf numFmtId="170" fontId="8" fillId="3" borderId="67" xfId="0" applyNumberFormat="1" applyFont="1" applyFill="1" applyBorder="1" applyAlignment="1">
      <x:alignment horizontal="center" vertical="bottom" wrapText="0"/>
    </x:xf>
    <x:xf numFmtId="171" fontId="8" fillId="3" borderId="67" xfId="0" applyNumberFormat="1" applyFont="1" applyFill="1" applyBorder="1" applyAlignment="1">
      <x:alignment horizontal="center" vertical="bottom" wrapText="0"/>
    </x:xf>
    <x:xf numFmtId="164" fontId="9" fillId="3" borderId="67" xfId="0" applyNumberFormat="1" applyFont="1" applyFill="1" applyBorder="1" applyAlignment="1">
      <x:alignment horizontal="left" vertical="bottom" wrapText="0"/>
    </x:xf>
    <x:xf numFmtId="172" fontId="9" fillId="3" borderId="67" xfId="0" applyNumberFormat="1" applyFont="1" applyFill="1" applyBorder="1" applyAlignment="1">
      <x:alignment horizontal="right" vertical="bottom" wrapText="1"/>
    </x:xf>
    <x:xf numFmtId="164" fontId="26" fillId="3" borderId="67" xfId="0" applyNumberFormat="1" applyFont="1" applyFill="1" applyBorder="1" applyAlignment="1">
      <x:alignment horizontal="center" vertical="bottom" wrapText="1"/>
    </x:xf>
    <x:xf numFmtId="164" fontId="33" fillId="0" borderId="67" xfId="0" applyNumberFormat="1" applyFont="1" applyFill="1" applyBorder="1" applyAlignment="1">
      <x:alignment horizontal="general" vertical="bottom" wrapText="0"/>
    </x:xf>
    <x:xf numFmtId="164" fontId="34" fillId="0" borderId="67" xfId="0" applyNumberFormat="1" applyFont="1" applyFill="1" applyBorder="1" applyAlignment="1">
      <x:alignment horizontal="left" vertical="bottom" wrapText="0"/>
    </x:xf>
    <x:xf numFmtId="164" fontId="33" fillId="0" borderId="67" xfId="0" applyNumberFormat="1" applyFont="1" applyFill="1" applyBorder="1" applyAlignment="1">
      <x:alignment horizontal="right" vertical="bottom" wrapText="0"/>
    </x:xf>
    <x:xf numFmtId="164" fontId="33" fillId="0" borderId="87" xfId="0" applyNumberFormat="1" applyFont="1" applyFill="1" applyBorder="1" applyAlignment="1">
      <x:alignment horizontal="general" vertical="bottom" wrapText="0"/>
    </x:xf>
    <x:xf numFmtId="164" fontId="34" fillId="0" borderId="87" xfId="0" applyNumberFormat="1" applyFont="1" applyFill="1" applyBorder="1" applyAlignment="1">
      <x:alignment horizontal="left" vertical="bottom" wrapText="0"/>
    </x:xf>
    <x:xf numFmtId="164" fontId="34" fillId="3" borderId="88" xfId="0" applyNumberFormat="1" applyFont="1" applyFill="1" applyBorder="1" applyAlignment="1">
      <x:alignment horizontal="left" vertical="bottom" wrapText="1"/>
    </x:xf>
    <x:xf numFmtId="166" fontId="35" fillId="3" borderId="89" xfId="0" applyNumberFormat="1" applyFont="1" applyFill="1" applyBorder="1" applyAlignment="1">
      <x:alignment horizontal="left" vertical="bottom" wrapText="1"/>
    </x:xf>
    <x:xf numFmtId="164" fontId="34" fillId="3" borderId="90" xfId="0" applyNumberFormat="1" applyFont="1" applyFill="1" applyBorder="1" applyAlignment="1">
      <x:alignment horizontal="left" vertical="bottom" wrapText="1"/>
    </x:xf>
    <x:xf numFmtId="166" fontId="33" fillId="3" borderId="91" xfId="0" applyNumberFormat="1" applyFont="1" applyFill="1" applyBorder="1" applyAlignment="1">
      <x:alignment horizontal="center" vertical="bottom" wrapText="1"/>
    </x:xf>
    <x:xf numFmtId="166" fontId="33" fillId="0" borderId="67" xfId="0" applyNumberFormat="1" applyFont="1" applyFill="1" applyBorder="1" applyAlignment="1">
      <x:alignment horizontal="general" vertical="bottom" wrapText="0"/>
    </x:xf>
    <x:xf numFmtId="164" fontId="34" fillId="3" borderId="92" xfId="0" applyNumberFormat="1" applyFont="1" applyFill="1" applyBorder="1" applyAlignment="1">
      <x:alignment horizontal="left" vertical="bottom" wrapText="1"/>
    </x:xf>
    <x:xf numFmtId="164" fontId="35" fillId="3" borderId="93" xfId="0" applyNumberFormat="1" applyFont="1" applyFill="1" applyBorder="1" applyAlignment="1">
      <x:alignment horizontal="left" vertical="bottom" wrapText="1"/>
    </x:xf>
    <x:xf numFmtId="164" fontId="34" fillId="3" borderId="69" xfId="0" applyNumberFormat="1" applyFont="1" applyFill="1" applyBorder="1" applyAlignment="1">
      <x:alignment horizontal="left" vertical="bottom" wrapText="1"/>
    </x:xf>
    <x:xf numFmtId="164" fontId="35" fillId="3" borderId="94" xfId="0" applyNumberFormat="1" applyFont="1" applyFill="1" applyBorder="1" applyAlignment="1">
      <x:alignment horizontal="left" vertical="bottom" wrapText="1"/>
    </x:xf>
    <x:xf numFmtId="164" fontId="35" fillId="3" borderId="94" xfId="0" applyNumberFormat="1" applyFont="1" applyFill="1" applyBorder="1" applyAlignment="1">
      <x:alignment horizontal="general" vertical="bottom" wrapText="1"/>
    </x:xf>
    <x:xf numFmtId="164" fontId="35" fillId="3" borderId="95" xfId="0" applyNumberFormat="1" applyFont="1" applyFill="1" applyBorder="1" applyAlignment="1">
      <x:alignment horizontal="general" vertical="bottom" wrapText="1"/>
    </x:xf>
    <x:xf numFmtId="164" fontId="35" fillId="3" borderId="68" xfId="0" applyNumberFormat="1" applyFont="1" applyFill="1" applyBorder="1" applyAlignment="1">
      <x:alignment horizontal="center" vertical="bottom" wrapText="1"/>
    </x:xf>
    <x:xf numFmtId="164" fontId="35" fillId="3" borderId="80" xfId="0" applyNumberFormat="1" applyFont="1" applyFill="1" applyBorder="1" applyAlignment="1">
      <x:alignment horizontal="left" vertical="bottom" wrapText="1"/>
    </x:xf>
    <x:xf numFmtId="164" fontId="33" fillId="3" borderId="96" xfId="0" applyNumberFormat="1" applyFont="1" applyFill="1" applyBorder="1" applyAlignment="1">
      <x:alignment horizontal="center" vertical="bottom" wrapText="1"/>
    </x:xf>
    <x:xf numFmtId="164" fontId="35" fillId="3" borderId="96" xfId="0" applyNumberFormat="1" applyFont="1" applyFill="1" applyBorder="1" applyAlignment="1">
      <x:alignment horizontal="left" vertical="bottom" wrapText="1"/>
    </x:xf>
    <x:xf numFmtId="164" fontId="34" fillId="3" borderId="92" xfId="0" applyNumberFormat="1" applyFont="1" applyFill="1" applyBorder="1" applyAlignment="1">
      <x:alignment horizontal="center" vertical="center" wrapText="0"/>
    </x:xf>
    <x:xf numFmtId="164" fontId="34" fillId="3" borderId="69" xfId="0" applyNumberFormat="1" applyFont="1" applyFill="1" applyBorder="1" applyAlignment="1">
      <x:alignment horizontal="center" vertical="center" wrapText="1"/>
    </x:xf>
    <x:xf numFmtId="164" fontId="34" fillId="3" borderId="80" xfId="0" applyNumberFormat="1" applyFont="1" applyFill="1" applyBorder="1" applyAlignment="1">
      <x:alignment horizontal="center" vertical="center" wrapText="1"/>
    </x:xf>
    <x:xf numFmtId="164" fontId="34" fillId="3" borderId="96" xfId="0" applyNumberFormat="1" applyFont="1" applyFill="1" applyBorder="1" applyAlignment="1">
      <x:alignment horizontal="center" vertical="center" wrapText="1"/>
    </x:xf>
    <x:xf numFmtId="164" fontId="33" fillId="3" borderId="97" xfId="0" applyNumberFormat="1" applyFont="1" applyFill="1" applyBorder="1" applyAlignment="1">
      <x:alignment horizontal="center" vertical="center" wrapText="0"/>
    </x:xf>
    <x:xf numFmtId="164" fontId="33" fillId="3" borderId="98" xfId="0" applyNumberFormat="1" applyFont="1" applyFill="1" applyBorder="1" applyAlignment="1">
      <x:alignment horizontal="center" vertical="center" wrapText="0"/>
    </x:xf>
    <x:xf numFmtId="164" fontId="33" fillId="3" borderId="99" xfId="0" applyNumberFormat="1" applyFont="1" applyFill="1" applyBorder="1" applyAlignment="1">
      <x:alignment horizontal="center" vertical="center" wrapText="0"/>
    </x:xf>
    <x:xf numFmtId="164" fontId="33" fillId="3" borderId="100" xfId="0" applyNumberFormat="1" applyFont="1" applyFill="1" applyBorder="1" applyAlignment="1">
      <x:alignment horizontal="center" vertical="center" wrapText="0"/>
    </x:xf>
    <x:xf numFmtId="164" fontId="33" fillId="0" borderId="101" xfId="0" applyNumberFormat="1" applyFont="1" applyFill="1" applyBorder="1" applyAlignment="1">
      <x:alignment horizontal="general" vertical="bottom" wrapText="0"/>
    </x:xf>
    <x:xf numFmtId="165" fontId="16" fillId="4" borderId="102" xfId="0" applyNumberFormat="1" applyFont="1" applyFill="1" applyBorder="1" applyAlignment="1">
      <x:alignment horizontal="center" vertical="center" wrapText="0"/>
    </x:xf>
    <x:xf numFmtId="164" fontId="36" fillId="4" borderId="103" xfId="0" applyNumberFormat="1" applyFont="1" applyFill="1" applyBorder="1" applyAlignment="1">
      <x:alignment horizontal="left" vertical="bottom" wrapText="0"/>
    </x:xf>
    <x:xf numFmtId="164" fontId="37" fillId="4" borderId="103" xfId="0" applyNumberFormat="1" applyFont="1" applyFill="1" applyBorder="1" applyAlignment="1">
      <x:alignment horizontal="general" vertical="bottom" wrapText="0"/>
    </x:xf>
    <x:xf numFmtId="164" fontId="37" fillId="4" borderId="103" xfId="0" applyNumberFormat="1" applyFont="1" applyFill="1" applyBorder="1" applyAlignment="1">
      <x:alignment horizontal="right" vertical="bottom" wrapText="0"/>
    </x:xf>
    <x:xf numFmtId="164" fontId="36" fillId="4" borderId="103" xfId="0" applyNumberFormat="1" applyFont="1" applyFill="1" applyBorder="1" applyAlignment="1">
      <x:alignment horizontal="general" vertical="top" wrapText="0"/>
    </x:xf>
    <x:xf numFmtId="164" fontId="36" fillId="4" borderId="104" xfId="0" applyNumberFormat="1" applyFont="1" applyFill="1" applyBorder="1" applyAlignment="1">
      <x:alignment horizontal="general" vertical="top" wrapText="0"/>
    </x:xf>
    <x:xf numFmtId="164" fontId="34" fillId="0" borderId="67" xfId="0" applyNumberFormat="1" applyFont="1" applyFill="1" applyBorder="1" applyAlignment="1">
      <x:alignment horizontal="general" vertical="bottom" wrapText="0"/>
    </x:xf>
    <x:xf numFmtId="164" fontId="36" fillId="4" borderId="105" xfId="0" applyNumberFormat="1" applyFont="1" applyFill="1" applyBorder="1" applyAlignment="1">
      <x:alignment horizontal="general" vertical="center" wrapText="0"/>
    </x:xf>
    <x:xf numFmtId="164" fontId="34" fillId="3" borderId="106" xfId="0" applyNumberFormat="1" applyFont="1" applyFill="1" applyBorder="1" applyAlignment="1">
      <x:alignment horizontal="left" vertical="top" wrapText="0"/>
    </x:xf>
    <x:xf numFmtId="164" fontId="33" fillId="3" borderId="94" xfId="0" applyNumberFormat="1" applyFont="1" applyFill="1" applyBorder="1" applyAlignment="1">
      <x:alignment horizontal="center" vertical="top" wrapText="0"/>
    </x:xf>
    <x:xf numFmtId="164" fontId="33" fillId="3" borderId="107" xfId="0" applyNumberFormat="1" applyFont="1" applyFill="1" applyBorder="1" applyAlignment="1">
      <x:alignment horizontal="right" vertical="top" wrapText="0"/>
    </x:xf>
    <x:xf numFmtId="164" fontId="35" fillId="6" borderId="67" xfId="0" applyNumberFormat="1" applyFont="1" applyFill="1" applyBorder="1" applyAlignment="1">
      <x:alignment horizontal="right" vertical="bottom" wrapText="0"/>
    </x:xf>
    <x:xf numFmtId="164" fontId="7" fillId="0" borderId="93" xfId="0" applyNumberFormat="1" applyFont="1" applyFill="1" applyBorder="1" applyAlignment="1">
      <x:alignment horizontal="center" vertical="bottom" wrapText="0"/>
    </x:xf>
    <x:xf numFmtId="164" fontId="7" fillId="0" borderId="108" xfId="0" applyNumberFormat="1" applyFont="1" applyFill="1" applyBorder="1" applyAlignment="1">
      <x:alignment horizontal="center" vertical="bottom" wrapText="0"/>
    </x:xf>
    <x:xf numFmtId="164" fontId="36" fillId="4" borderId="109" xfId="0" applyNumberFormat="1" applyFont="1" applyFill="1" applyBorder="1" applyAlignment="1">
      <x:alignment horizontal="general" vertical="center" wrapText="0"/>
    </x:xf>
    <x:xf numFmtId="164" fontId="34" fillId="3" borderId="68" xfId="0" applyNumberFormat="1" applyFont="1" applyFill="1" applyBorder="1" applyAlignment="1">
      <x:alignment horizontal="left" vertical="top" wrapText="0"/>
    </x:xf>
    <x:xf numFmtId="164" fontId="33" fillId="3" borderId="80" xfId="0" applyNumberFormat="1" applyFont="1" applyFill="1" applyBorder="1" applyAlignment="1">
      <x:alignment horizontal="center" vertical="top" wrapText="0"/>
    </x:xf>
    <x:xf numFmtId="164" fontId="33" fillId="3" borderId="70" xfId="0" applyNumberFormat="1" applyFont="1" applyFill="1" applyBorder="1" applyAlignment="1">
      <x:alignment horizontal="right" vertical="top" wrapText="0"/>
    </x:xf>
    <x:xf numFmtId="164" fontId="7" fillId="0" borderId="69" xfId="0" applyNumberFormat="1" applyFont="1" applyFill="1" applyBorder="1" applyAlignment="1">
      <x:alignment horizontal="center" vertical="bottom" wrapText="0"/>
    </x:xf>
    <x:xf numFmtId="164" fontId="7" fillId="0" borderId="110" xfId="0" applyNumberFormat="1" applyFont="1" applyFill="1" applyBorder="1" applyAlignment="1">
      <x:alignment horizontal="center" vertical="bottom" wrapText="0"/>
    </x:xf>
    <x:xf numFmtId="164" fontId="33" fillId="0" borderId="67" xfId="0" applyNumberFormat="1" applyFont="1" applyFill="1" applyBorder="1" applyAlignment="1">
      <x:alignment horizontal="general" vertical="top" wrapText="0"/>
    </x:xf>
    <x:xf numFmtId="164" fontId="33" fillId="6" borderId="67" xfId="0" applyNumberFormat="1" applyFont="1" applyFill="1" applyBorder="1" applyAlignment="1">
      <x:alignment horizontal="right" vertical="bottom" wrapText="0"/>
    </x:xf>
    <x:xf numFmtId="164" fontId="34" fillId="0" borderId="67" xfId="0" applyNumberFormat="1" applyFont="1" applyFill="1" applyBorder="1" applyAlignment="1">
      <x:alignment horizontal="center" vertical="bottom" wrapText="0"/>
    </x:xf>
    <x:xf numFmtId="164" fontId="34" fillId="3" borderId="111" xfId="0" applyNumberFormat="1" applyFont="1" applyFill="1" applyBorder="1" applyAlignment="1">
      <x:alignment horizontal="left" vertical="top" wrapText="0"/>
    </x:xf>
    <x:xf numFmtId="164" fontId="33" fillId="3" borderId="112" xfId="0" applyNumberFormat="1" applyFont="1" applyFill="1" applyBorder="1" applyAlignment="1">
      <x:alignment horizontal="center" vertical="top" wrapText="0"/>
    </x:xf>
    <x:xf numFmtId="164" fontId="33" fillId="3" borderId="113" xfId="0" applyNumberFormat="1" applyFont="1" applyFill="1" applyBorder="1" applyAlignment="1">
      <x:alignment horizontal="right" vertical="top" wrapText="0"/>
    </x:xf>
    <x:xf numFmtId="164" fontId="33" fillId="6" borderId="114" xfId="0" applyNumberFormat="1" applyFont="1" applyFill="1" applyBorder="1" applyAlignment="1">
      <x:alignment horizontal="right" vertical="bottom" wrapText="0"/>
    </x:xf>
    <x:xf numFmtId="164" fontId="7" fillId="0" borderId="115" xfId="0" applyNumberFormat="1" applyFont="1" applyFill="1" applyBorder="1" applyAlignment="1">
      <x:alignment horizontal="center" vertical="bottom" wrapText="0"/>
    </x:xf>
    <x:xf numFmtId="164" fontId="7" fillId="0" borderId="116" xfId="0" applyNumberFormat="1" applyFont="1" applyFill="1" applyBorder="1" applyAlignment="1">
      <x:alignment horizontal="center" vertical="bottom" wrapText="0"/>
    </x:xf>
    <x:xf numFmtId="164" fontId="36" fillId="4" borderId="105" xfId="0" applyNumberFormat="1" applyFont="1" applyFill="1" applyBorder="1" applyAlignment="1">
      <x:alignment horizontal="general" vertical="top" wrapText="0"/>
    </x:xf>
    <x:xf numFmtId="164" fontId="34" fillId="3" borderId="106" xfId="0" applyNumberFormat="1" applyFont="1" applyFill="1" applyBorder="1" applyAlignment="1">
      <x:alignment horizontal="general" vertical="bottom" wrapText="0"/>
    </x:xf>
    <x:xf numFmtId="164" fontId="34" fillId="3" borderId="94" xfId="0" applyNumberFormat="1" applyFont="1" applyFill="1" applyBorder="1" applyAlignment="1">
      <x:alignment horizontal="general" vertical="bottom" wrapText="0"/>
    </x:xf>
    <x:xf numFmtId="164" fontId="33" fillId="3" borderId="107" xfId="0" applyNumberFormat="1" applyFont="1" applyFill="1" applyBorder="1" applyAlignment="1">
      <x:alignment horizontal="right" vertical="bottom" wrapText="0"/>
    </x:xf>
    <x:xf numFmtId="164" fontId="33" fillId="6" borderId="93" xfId="0" applyNumberFormat="1" applyFont="1" applyFill="1" applyBorder="1" applyAlignment="1">
      <x:alignment horizontal="left" vertical="bottom" wrapText="0"/>
    </x:xf>
    <x:xf numFmtId="164" fontId="36" fillId="4" borderId="109" xfId="0" applyNumberFormat="1" applyFont="1" applyFill="1" applyBorder="1" applyAlignment="1">
      <x:alignment horizontal="general" vertical="top" wrapText="0"/>
    </x:xf>
    <x:xf numFmtId="164" fontId="34" fillId="3" borderId="68" xfId="0" applyNumberFormat="1" applyFont="1" applyFill="1" applyBorder="1" applyAlignment="1">
      <x:alignment horizontal="general" vertical="bottom" wrapText="0"/>
    </x:xf>
    <x:xf numFmtId="164" fontId="33" fillId="3" borderId="80" xfId="0" applyNumberFormat="1" applyFont="1" applyFill="1" applyBorder="1" applyAlignment="1">
      <x:alignment horizontal="general" vertical="bottom" wrapText="0"/>
    </x:xf>
    <x:xf numFmtId="164" fontId="33" fillId="3" borderId="70" xfId="0" applyNumberFormat="1" applyFont="1" applyFill="1" applyBorder="1" applyAlignment="1">
      <x:alignment horizontal="right" vertical="bottom" wrapText="0"/>
    </x:xf>
    <x:xf numFmtId="164" fontId="33" fillId="6" borderId="69" xfId="0" applyNumberFormat="1" applyFont="1" applyFill="1" applyBorder="1" applyAlignment="1">
      <x:alignment horizontal="left" vertical="bottom" wrapText="0"/>
    </x:xf>
    <x:xf numFmtId="164" fontId="5" fillId="3" borderId="80" xfId="0" applyNumberFormat="1" applyFont="1" applyFill="1" applyBorder="1" applyAlignment="1">
      <x:alignment horizontal="general" vertical="bottom" wrapText="0"/>
    </x:xf>
    <x:xf numFmtId="164" fontId="33" fillId="6" borderId="69" xfId="0" applyNumberFormat="1" applyFont="1" applyFill="1" applyBorder="1" applyAlignment="1">
      <x:alignment horizontal="general" vertical="bottom" wrapText="0"/>
    </x:xf>
    <x:xf numFmtId="164" fontId="34" fillId="3" borderId="117" xfId="0" applyNumberFormat="1" applyFont="1" applyFill="1" applyBorder="1" applyAlignment="1">
      <x:alignment horizontal="general" vertical="bottom" wrapText="0"/>
    </x:xf>
    <x:xf numFmtId="164" fontId="33" fillId="3" borderId="118" xfId="0" applyNumberFormat="1" applyFont="1" applyFill="1" applyBorder="1" applyAlignment="1">
      <x:alignment horizontal="general" vertical="bottom" wrapText="0"/>
    </x:xf>
    <x:xf numFmtId="164" fontId="33" fillId="3" borderId="119" xfId="0" applyNumberFormat="1" applyFont="1" applyFill="1" applyBorder="1" applyAlignment="1">
      <x:alignment horizontal="right" vertical="bottom" wrapText="0"/>
    </x:xf>
    <x:xf numFmtId="164" fontId="33" fillId="6" borderId="120" xfId="0" applyNumberFormat="1" applyFont="1" applyFill="1" applyBorder="1" applyAlignment="1">
      <x:alignment horizontal="left" vertical="bottom" wrapText="0"/>
    </x:xf>
    <x:xf numFmtId="164" fontId="7" fillId="0" borderId="120" xfId="0" applyNumberFormat="1" applyFont="1" applyFill="1" applyBorder="1" applyAlignment="1">
      <x:alignment horizontal="center" vertical="bottom" wrapText="0"/>
    </x:xf>
    <x:xf numFmtId="164" fontId="7" fillId="0" borderId="121" xfId="0" applyNumberFormat="1" applyFont="1" applyFill="1" applyBorder="1" applyAlignment="1">
      <x:alignment horizontal="center" vertical="bottom" wrapText="0"/>
    </x:xf>
    <x:xf numFmtId="164" fontId="33" fillId="0" borderId="122" xfId="0" applyNumberFormat="1" applyFont="1" applyFill="1" applyBorder="1" applyAlignment="1">
      <x:alignment horizontal="left" vertical="bottom" wrapText="0"/>
    </x:xf>
    <x:xf numFmtId="164" fontId="33" fillId="0" borderId="122" xfId="0" applyNumberFormat="1" applyFont="1" applyFill="1" applyBorder="1" applyAlignment="1">
      <x:alignment horizontal="center" vertical="bottom" wrapText="0"/>
    </x:xf>
    <x:xf numFmtId="164" fontId="33" fillId="0" borderId="123" xfId="0" applyNumberFormat="1" applyFont="1" applyFill="1" applyBorder="1" applyAlignment="1">
      <x:alignment horizontal="center" vertical="bottom" wrapText="0"/>
    </x:xf>
    <x:xf numFmtId="164" fontId="33" fillId="0" borderId="69" xfId="0" applyNumberFormat="1" applyFont="1" applyFill="1" applyBorder="1" applyAlignment="1">
      <x:alignment horizontal="left" vertical="bottom" wrapText="0"/>
    </x:xf>
    <x:xf numFmtId="164" fontId="38" fillId="0" borderId="69" xfId="0" applyNumberFormat="1" applyFont="1" applyFill="1" applyBorder="1" applyAlignment="1">
      <x:alignment horizontal="left" vertical="bottom" wrapText="0"/>
    </x:xf>
    <x:xf numFmtId="164" fontId="33" fillId="0" borderId="69" xfId="0" applyNumberFormat="1" applyFont="1" applyFill="1" applyBorder="1" applyAlignment="1">
      <x:alignment horizontal="center" vertical="bottom" wrapText="0"/>
    </x:xf>
    <x:xf numFmtId="164" fontId="33" fillId="0" borderId="110" xfId="0" applyNumberFormat="1" applyFont="1" applyFill="1" applyBorder="1" applyAlignment="1">
      <x:alignment horizontal="center" vertical="bottom" wrapText="0"/>
    </x:xf>
    <x:xf numFmtId="164" fontId="33" fillId="0" borderId="69" xfId="0" applyNumberFormat="1" applyFont="1" applyFill="1" applyBorder="1" applyAlignment="1">
      <x:alignment horizontal="left" vertical="top" wrapText="0"/>
    </x:xf>
    <x:xf numFmtId="164" fontId="33" fillId="0" borderId="69" xfId="0" applyNumberFormat="1" applyFont="1" applyFill="1" applyBorder="1" applyAlignment="1">
      <x:alignment horizontal="general" vertical="bottom" wrapText="0"/>
    </x:xf>
    <x:xf numFmtId="173" fontId="33" fillId="0" borderId="69" xfId="0" applyNumberFormat="1" applyFont="1" applyFill="1" applyBorder="1" applyAlignment="1">
      <x:alignment horizontal="general" vertical="top" wrapText="0"/>
    </x:xf>
    <x:xf numFmtId="173" fontId="33" fillId="0" borderId="110" xfId="0" applyNumberFormat="1" applyFont="1" applyFill="1" applyBorder="1" applyAlignment="1">
      <x:alignment horizontal="general" vertical="top" wrapText="0"/>
    </x:xf>
    <x:xf numFmtId="164" fontId="36" fillId="4" borderId="124" xfId="0" applyNumberFormat="1" applyFont="1" applyFill="1" applyBorder="1" applyAlignment="1">
      <x:alignment horizontal="general" vertical="top" wrapText="0"/>
    </x:xf>
    <x:xf numFmtId="164" fontId="33" fillId="0" borderId="115" xfId="0" applyNumberFormat="1" applyFont="1" applyFill="1" applyBorder="1" applyAlignment="1">
      <x:alignment horizontal="left" vertical="top" wrapText="0"/>
    </x:xf>
    <x:xf numFmtId="164" fontId="33" fillId="0" borderId="115" xfId="0" applyNumberFormat="1" applyFont="1" applyFill="1" applyBorder="1" applyAlignment="1">
      <x:alignment horizontal="general" vertical="bottom" wrapText="0"/>
    </x:xf>
    <x:xf numFmtId="164" fontId="33" fillId="0" borderId="116" xfId="0" applyNumberFormat="1" applyFont="1" applyFill="1" applyBorder="1" applyAlignment="1">
      <x:alignment horizontal="general" vertical="bottom" wrapText="0"/>
    </x:xf>
    <x:xf numFmtId="164" fontId="36" fillId="0" borderId="67" xfId="0" applyNumberFormat="1" applyFont="1" applyFill="1" applyBorder="1" applyAlignment="1">
      <x:alignment horizontal="general" vertical="top" wrapText="0"/>
    </x:xf>
    <x:xf numFmtId="164" fontId="33" fillId="0" borderId="67" xfId="0" applyNumberFormat="1" applyFont="1" applyFill="1" applyBorder="1" applyAlignment="1">
      <x:alignment horizontal="center" vertical="bottom" wrapText="0"/>
    </x:xf>
    <x:xf numFmtId="164" fontId="34" fillId="3" borderId="125" xfId="0" applyNumberFormat="1" applyFont="1" applyFill="1" applyBorder="1" applyAlignment="1">
      <x:alignment horizontal="left" vertical="bottom" wrapText="1"/>
    </x:xf>
    <x:xf numFmtId="164" fontId="33" fillId="0" borderId="89" xfId="0" applyNumberFormat="1" applyFont="1" applyFill="1" applyBorder="1" applyAlignment="1">
      <x:alignment horizontal="general" vertical="bottom" wrapText="0"/>
    </x:xf>
    <x:xf numFmtId="164" fontId="34" fillId="3" borderId="89" xfId="0" applyNumberFormat="1" applyFont="1" applyFill="1" applyBorder="1" applyAlignment="1">
      <x:alignment horizontal="left" vertical="bottom" wrapText="1"/>
    </x:xf>
    <x:xf numFmtId="166" fontId="35" fillId="3" borderId="91" xfId="0" applyNumberFormat="1" applyFont="1" applyFill="1" applyBorder="1" applyAlignment="1">
      <x:alignment horizontal="left" vertical="bottom" wrapText="1"/>
    </x:xf>
    <x:xf numFmtId="164" fontId="34" fillId="3" borderId="126" xfId="0" applyNumberFormat="1" applyFont="1" applyFill="1" applyBorder="1" applyAlignment="1">
      <x:alignment horizontal="left" vertical="bottom" wrapText="1"/>
    </x:xf>
    <x:xf numFmtId="164" fontId="34" fillId="3" borderId="93" xfId="0" applyNumberFormat="1" applyFont="1" applyFill="1" applyBorder="1" applyAlignment="1">
      <x:alignment horizontal="left" vertical="bottom" wrapText="1"/>
    </x:xf>
    <x:xf numFmtId="164" fontId="37" fillId="4" borderId="127" xfId="0" applyNumberFormat="1" applyFont="1" applyFill="1" applyBorder="1" applyAlignment="1">
      <x:alignment horizontal="general" vertical="bottom" wrapText="0"/>
    </x:xf>
    <x:xf numFmtId="164" fontId="36" fillId="4" borderId="128" xfId="0" applyNumberFormat="1" applyFont="1" applyFill="1" applyBorder="1" applyAlignment="1">
      <x:alignment horizontal="left" vertical="bottom" wrapText="0"/>
    </x:xf>
    <x:xf numFmtId="164" fontId="37" fillId="4" borderId="128" xfId="0" applyNumberFormat="1" applyFont="1" applyFill="1" applyBorder="1" applyAlignment="1">
      <x:alignment horizontal="general" vertical="bottom" wrapText="0"/>
    </x:xf>
    <x:xf numFmtId="164" fontId="37" fillId="4" borderId="128" xfId="0" applyNumberFormat="1" applyFont="1" applyFill="1" applyBorder="1" applyAlignment="1">
      <x:alignment horizontal="right" vertical="bottom" wrapText="0"/>
    </x:xf>
    <x:xf numFmtId="164" fontId="36" fillId="4" borderId="128" xfId="0" applyNumberFormat="1" applyFont="1" applyFill="1" applyBorder="1" applyAlignment="1">
      <x:alignment horizontal="general" vertical="top" wrapText="0"/>
    </x:xf>
    <x:xf numFmtId="164" fontId="36" fillId="4" borderId="129" xfId="0" applyNumberFormat="1" applyFont="1" applyFill="1" applyBorder="1" applyAlignment="1">
      <x:alignment horizontal="general" vertical="top" wrapText="0"/>
    </x:xf>
    <x:xf numFmtId="164" fontId="35" fillId="6" borderId="118" xfId="0" applyNumberFormat="1" applyFont="1" applyFill="1" applyBorder="1" applyAlignment="1">
      <x:alignment horizontal="right" vertical="bottom" wrapText="0"/>
    </x:xf>
    <x:xf numFmtId="164" fontId="39" fillId="0" borderId="69" xfId="0" applyNumberFormat="1" applyFont="1" applyFill="1" applyBorder="1" applyAlignment="1">
      <x:alignment horizontal="center" vertical="bottom" wrapText="0"/>
    </x:xf>
    <x:xf numFmtId="164" fontId="39" fillId="0" borderId="110" xfId="0" applyNumberFormat="1" applyFont="1" applyFill="1" applyBorder="1" applyAlignment="1">
      <x:alignment horizontal="center" vertical="bottom" wrapText="0"/>
    </x:xf>
    <x:xf numFmtId="164" fontId="40" fillId="0" borderId="67" xfId="0" applyNumberFormat="1" applyFont="1" applyFill="1" applyBorder="1" applyAlignment="1">
      <x:alignment horizontal="center" vertical="bottom" wrapText="0"/>
    </x:xf>
    <x:xf numFmtId="164" fontId="39" fillId="0" borderId="115" xfId="0" applyNumberFormat="1" applyFont="1" applyFill="1" applyBorder="1" applyAlignment="1">
      <x:alignment horizontal="center" vertical="bottom" wrapText="0"/>
    </x:xf>
    <x:xf numFmtId="164" fontId="39" fillId="0" borderId="116" xfId="0" applyNumberFormat="1" applyFont="1" applyFill="1" applyBorder="1" applyAlignment="1">
      <x:alignment horizontal="center" vertical="bottom" wrapText="0"/>
    </x:xf>
    <x:xf numFmtId="164" fontId="39" fillId="0" borderId="93" xfId="0" applyNumberFormat="1" applyFont="1" applyFill="1" applyBorder="1" applyAlignment="1">
      <x:alignment horizontal="center" vertical="bottom" wrapText="0"/>
    </x:xf>
    <x:xf numFmtId="164" fontId="39" fillId="0" borderId="108" xfId="0" applyNumberFormat="1" applyFont="1" applyFill="1" applyBorder="1" applyAlignment="1">
      <x:alignment horizontal="center" vertical="bottom" wrapText="0"/>
    </x:xf>
    <x:xf numFmtId="164" fontId="0" fillId="3" borderId="80" xfId="0" applyNumberFormat="1" applyFont="1" applyFill="1" applyBorder="1" applyAlignment="1">
      <x:alignment horizontal="general" vertical="bottom" wrapText="0"/>
    </x:xf>
    <x:xf numFmtId="164" fontId="39" fillId="0" borderId="120" xfId="0" applyNumberFormat="1" applyFont="1" applyFill="1" applyBorder="1" applyAlignment="1">
      <x:alignment horizontal="center" vertical="bottom" wrapText="0"/>
    </x:xf>
    <x:xf numFmtId="164" fontId="39" fillId="0" borderId="121" xfId="0" applyNumberFormat="1" applyFont="1" applyFill="1" applyBorder="1" applyAlignment="1">
      <x:alignment horizontal="center" vertical="bottom" wrapText="0"/>
    </x:xf>
    <x:xf numFmtId="164" fontId="41" fillId="0" borderId="122" xfId="0" applyNumberFormat="1" applyFont="1" applyFill="1" applyBorder="1" applyAlignment="1">
      <x:alignment horizontal="center" vertical="bottom" wrapText="0"/>
    </x:xf>
    <x:xf numFmtId="164" fontId="41" fillId="0" borderId="123" xfId="0" applyNumberFormat="1" applyFont="1" applyFill="1" applyBorder="1" applyAlignment="1">
      <x:alignment horizontal="center" vertical="bottom" wrapText="0"/>
    </x:xf>
    <x:xf numFmtId="164" fontId="41" fillId="0" borderId="69" xfId="0" applyNumberFormat="1" applyFont="1" applyFill="1" applyBorder="1" applyAlignment="1">
      <x:alignment horizontal="center" vertical="bottom" wrapText="0"/>
    </x:xf>
    <x:xf numFmtId="164" fontId="41" fillId="0" borderId="110" xfId="0" applyNumberFormat="1" applyFont="1" applyFill="1" applyBorder="1" applyAlignment="1">
      <x:alignment horizontal="center" vertical="bottom" wrapText="0"/>
    </x:xf>
    <x:xf numFmtId="164" fontId="36" fillId="4" borderId="130" xfId="0" applyNumberFormat="1" applyFont="1" applyFill="1" applyBorder="1" applyAlignment="1">
      <x:alignment horizontal="left" vertical="bottom" wrapText="0"/>
    </x:xf>
    <x:xf numFmtId="164" fontId="37" fillId="4" borderId="130" xfId="0" applyNumberFormat="1" applyFont="1" applyFill="1" applyBorder="1" applyAlignment="1">
      <x:alignment horizontal="general" vertical="bottom" wrapText="0"/>
    </x:xf>
    <x:xf numFmtId="164" fontId="37" fillId="4" borderId="130" xfId="0" applyNumberFormat="1" applyFont="1" applyFill="1" applyBorder="1" applyAlignment="1">
      <x:alignment horizontal="right" vertical="bottom" wrapText="0"/>
    </x:xf>
    <x:xf numFmtId="164" fontId="36" fillId="4" borderId="130" xfId="0" applyNumberFormat="1" applyFont="1" applyFill="1" applyBorder="1" applyAlignment="1">
      <x:alignment horizontal="general" vertical="top" wrapText="0"/>
    </x:xf>
    <x:xf numFmtId="164" fontId="36" fillId="4" borderId="131" xfId="0" applyNumberFormat="1" applyFont="1" applyFill="1" applyBorder="1" applyAlignment="1">
      <x:alignment horizontal="general" vertical="top" wrapText="0"/>
    </x:xf>
    <x:xf numFmtId="164" fontId="36" fillId="4" borderId="132" xfId="0" applyNumberFormat="1" applyFont="1" applyFill="1" applyBorder="1" applyAlignment="1">
      <x:alignment horizontal="general" vertical="top" wrapText="0"/>
    </x:xf>
    <x:xf numFmtId="164" fontId="36" fillId="4" borderId="133" xfId="0" applyNumberFormat="1" applyFont="1" applyFill="1" applyBorder="1" applyAlignment="1">
      <x:alignment horizontal="general" vertical="top" wrapText="0"/>
    </x:xf>
    <x:xf numFmtId="164" fontId="34" fillId="3" borderId="68" xfId="0" applyNumberFormat="1" applyFont="1" applyFill="1" applyBorder="1" applyAlignment="1">
      <x:alignment horizontal="right" vertical="bottom" wrapText="0"/>
    </x:xf>
    <x:xf numFmtId="200" fontId="10" fillId="0" borderId="3" xfId="0" applyNumberFormat="1" applyFont="1" applyFill="1" applyBorder="1" applyAlignment="1">
      <x:alignment horizontal="general" vertical="bottom" wrapText="0"/>
    </x:xf>
    <x:xf numFmtId="200" fontId="10" fillId="0" borderId="70" xfId="0" applyNumberFormat="1" applyFont="1" applyFill="1" applyBorder="1" applyAlignment="1">
      <x:alignment horizontal="general" vertical="bottom" wrapText="0"/>
    </x:xf>
    <x:xf numFmtId="200" fontId="10" fillId="0" borderId="7" xfId="0" applyNumberFormat="1" applyFont="1" applyFill="1" applyBorder="1" applyAlignment="1">
      <x:alignment horizontal="general" vertical="top" wrapText="1"/>
    </x:xf>
    <x:xf numFmtId="200" fontId="10" fillId="0" borderId="74" xfId="0" applyNumberFormat="1" applyFont="1" applyFill="1" applyBorder="1" applyAlignment="1">
      <x:alignment horizontal="general" vertical="top" wrapText="1"/>
    </x:xf>
    <x:xf numFmtId="164" fontId="10" fillId="3" borderId="2" xfId="0" applyNumberFormat="1" applyFont="1" applyFill="1" applyBorder="1" applyAlignment="1">
      <x:alignment horizontal="left" vertical="top" wrapText="1"/>
    </x:xf>
    <x:xf numFmtId="164" fontId="21" fillId="3" borderId="8" xfId="0" applyNumberFormat="1" applyFont="1" applyFill="1" applyBorder="1" applyAlignment="1">
      <x:alignment horizontal="left" vertical="center" wrapText="1"/>
    </x:xf>
    <x:xf numFmtId="164" fontId="8" fillId="3" borderId="9" xfId="0" applyNumberFormat="1" applyFont="1" applyFill="1" applyBorder="1" applyAlignment="1">
      <x:alignment horizontal="left" vertical="center" wrapText="1"/>
    </x:xf>
    <x:xf numFmtId="164" fontId="21" fillId="3" borderId="75" xfId="0" applyNumberFormat="1" applyFont="1" applyFill="1" applyBorder="1" applyAlignment="1">
      <x:alignment horizontal="left" vertical="center" wrapText="1"/>
    </x:xf>
    <x:xf numFmtId="164" fontId="8" fillId="3" borderId="76" xfId="0" applyNumberFormat="1" applyFont="1" applyFill="1" applyBorder="1" applyAlignment="1">
      <x:alignment horizontal="left" vertical="center" wrapText="1"/>
    </x:xf>
    <x:xf numFmtId="164" fontId="35" fillId="3" borderId="29" xfId="0" applyNumberFormat="1" applyFont="1" applyFill="1" applyBorder="1" applyAlignment="1">
      <x:alignment horizontal="left" vertical="bottom" wrapText="1"/>
    </x:xf>
    <x:xf numFmtId="164" fontId="34" fillId="3" borderId="39" xfId="0" applyNumberFormat="1" applyFont="1" applyFill="1" applyBorder="1" applyAlignment="1">
      <x:alignment horizontal="left" vertical="top" wrapText="1"/>
    </x:xf>
    <x:xf numFmtId="164" fontId="33" fillId="3" borderId="27" xfId="0" applyNumberFormat="1" applyFont="1" applyFill="1" applyBorder="1" applyAlignment="1">
      <x:alignment horizontal="center" vertical="top" wrapText="1"/>
    </x:xf>
    <x:xf numFmtId="164" fontId="33" fillId="3" borderId="40" xfId="0" applyNumberFormat="1" applyFont="1" applyFill="1" applyBorder="1" applyAlignment="1">
      <x:alignment horizontal="right" vertical="top" wrapText="1"/>
    </x:xf>
    <x:xf numFmtId="164" fontId="35" fillId="6" borderId="0" xfId="0" applyNumberFormat="1" applyFont="1" applyFill="1" applyBorder="1" applyAlignment="1">
      <x:alignment horizontal="right" vertical="bottom" wrapText="1"/>
    </x:xf>
    <x:xf numFmtId="164" fontId="7" fillId="0" borderId="26" xfId="0" applyNumberFormat="1" applyFont="1" applyFill="1" applyBorder="1" applyAlignment="1">
      <x:alignment horizontal="center" vertical="bottom" wrapText="1"/>
    </x:xf>
    <x:xf numFmtId="164" fontId="7" fillId="0" borderId="41" xfId="0" applyNumberFormat="1" applyFont="1" applyFill="1" applyBorder="1" applyAlignment="1">
      <x:alignment horizontal="center" vertical="bottom" wrapText="1"/>
    </x:xf>
    <x:xf numFmtId="164" fontId="34" fillId="3" borderId="106" xfId="0" applyNumberFormat="1" applyFont="1" applyFill="1" applyBorder="1" applyAlignment="1">
      <x:alignment horizontal="left" vertical="top" wrapText="1"/>
    </x:xf>
    <x:xf numFmtId="164" fontId="33" fillId="3" borderId="94" xfId="0" applyNumberFormat="1" applyFont="1" applyFill="1" applyBorder="1" applyAlignment="1">
      <x:alignment horizontal="center" vertical="top" wrapText="1"/>
    </x:xf>
    <x:xf numFmtId="164" fontId="33" fillId="3" borderId="107" xfId="0" applyNumberFormat="1" applyFont="1" applyFill="1" applyBorder="1" applyAlignment="1">
      <x:alignment horizontal="right" vertical="top" wrapText="1"/>
    </x:xf>
    <x:xf numFmtId="164" fontId="35" fillId="6" borderId="67" xfId="0" applyNumberFormat="1" applyFont="1" applyFill="1" applyBorder="1" applyAlignment="1">
      <x:alignment horizontal="right" vertical="bottom" wrapText="1"/>
    </x:xf>
    <x:xf numFmtId="164" fontId="7" fillId="0" borderId="93" xfId="0" applyNumberFormat="1" applyFont="1" applyFill="1" applyBorder="1" applyAlignment="1">
      <x:alignment horizontal="center" vertical="bottom" wrapText="1"/>
    </x:xf>
    <x:xf numFmtId="164" fontId="7" fillId="0" borderId="108" xfId="0" applyNumberFormat="1" applyFont="1" applyFill="1" applyBorder="1" applyAlignment="1">
      <x:alignment horizontal="center" vertical="bottom" wrapText="1"/>
    </x:xf>
    <x:xf numFmtId="164" fontId="36" fillId="4" borderId="36" xfId="0" applyNumberFormat="1" applyFont="1" applyFill="1" applyBorder="1" applyAlignment="1">
      <x:alignment horizontal="center" vertical="top" wrapText="0"/>
    </x:xf>
    <x:xf numFmtId="164" fontId="36" fillId="4" borderId="37" xfId="0" applyNumberFormat="1" applyFont="1" applyFill="1" applyBorder="1" applyAlignment="1">
      <x:alignment horizontal="center" vertical="top" wrapText="0"/>
    </x:xf>
    <x:xf numFmtId="164" fontId="7" fillId="0" borderId="2" xfId="0" applyNumberFormat="1" applyFont="1" applyFill="1" applyBorder="1" applyAlignment="1">
      <x:alignment horizontal="center" vertical="bottom" wrapText="0"/>
    </x:xf>
    <x:xf numFmtId="164" fontId="7" fillId="0" borderId="43" xfId="0" applyNumberFormat="1" applyFont="1" applyFill="1" applyBorder="1" applyAlignment="1">
      <x:alignment horizontal="center" vertical="bottom" wrapText="0"/>
    </x:xf>
    <x:xf numFmtId="164" fontId="7" fillId="0" borderId="48" xfId="0" applyNumberFormat="1" applyFont="1" applyFill="1" applyBorder="1" applyAlignment="1">
      <x:alignment horizontal="center" vertical="bottom" wrapText="0"/>
    </x:xf>
    <x:xf numFmtId="164" fontId="7" fillId="0" borderId="49" xfId="0" applyNumberFormat="1" applyFont="1" applyFill="1" applyBorder="1" applyAlignment="1">
      <x:alignment horizontal="center" vertical="bottom" wrapText="0"/>
    </x:xf>
    <x:xf numFmtId="164" fontId="7" fillId="0" borderId="26" xfId="0" applyNumberFormat="1" applyFont="1" applyFill="1" applyBorder="1" applyAlignment="1">
      <x:alignment horizontal="center" vertical="bottom" wrapText="0"/>
    </x:xf>
    <x:xf numFmtId="164" fontId="7" fillId="0" borderId="41" xfId="0" applyNumberFormat="1" applyFont="1" applyFill="1" applyBorder="1" applyAlignment="1">
      <x:alignment horizontal="center" vertical="bottom" wrapText="0"/>
    </x:xf>
    <x:xf numFmtId="164" fontId="7" fillId="0" borderId="53" xfId="0" applyNumberFormat="1" applyFont="1" applyFill="1" applyBorder="1" applyAlignment="1">
      <x:alignment horizontal="center" vertical="bottom" wrapText="0"/>
    </x:xf>
    <x:xf numFmtId="164" fontId="7" fillId="0" borderId="54" xfId="0" applyNumberFormat="1" applyFont="1" applyFill="1" applyBorder="1" applyAlignment="1">
      <x:alignment horizontal="center" vertical="bottom" wrapText="0"/>
    </x:xf>
    <x:xf numFmtId="164" fontId="33" fillId="0" borderId="55" xfId="0" applyNumberFormat="1" applyFont="1" applyFill="1" applyBorder="1" applyAlignment="1">
      <x:alignment horizontal="center" vertical="bottom" wrapText="0"/>
    </x:xf>
    <x:xf numFmtId="164" fontId="33" fillId="0" borderId="56" xfId="0" applyNumberFormat="1" applyFont="1" applyFill="1" applyBorder="1" applyAlignment="1">
      <x:alignment horizontal="center" vertical="bottom" wrapText="0"/>
    </x:xf>
    <x:xf numFmtId="164" fontId="33" fillId="0" borderId="2" xfId="0" applyNumberFormat="1" applyFont="1" applyFill="1" applyBorder="1" applyAlignment="1">
      <x:alignment horizontal="center" vertical="bottom" wrapText="0"/>
    </x:xf>
    <x:xf numFmtId="164" fontId="33" fillId="0" borderId="43" xfId="0" applyNumberFormat="1" applyFont="1" applyFill="1" applyBorder="1" applyAlignment="1">
      <x:alignment horizontal="center" vertical="bottom" wrapText="0"/>
    </x:xf>
    <x:xf numFmtId="173" fontId="33" fillId="0" borderId="2" xfId="0" applyNumberFormat="1" applyFont="1" applyFill="1" applyBorder="1" applyAlignment="1">
      <x:alignment horizontal="center" vertical="top" wrapText="0"/>
    </x:xf>
    <x:xf numFmtId="173" fontId="33" fillId="0" borderId="43" xfId="0" applyNumberFormat="1" applyFont="1" applyFill="1" applyBorder="1" applyAlignment="1">
      <x:alignment horizontal="center" vertical="top" wrapText="0"/>
    </x:xf>
    <x:xf numFmtId="164" fontId="33" fillId="0" borderId="48" xfId="0" applyNumberFormat="1" applyFont="1" applyFill="1" applyBorder="1" applyAlignment="1">
      <x:alignment horizontal="center" vertical="bottom" wrapText="0"/>
    </x:xf>
    <x:xf numFmtId="164" fontId="33" fillId="0" borderId="49" xfId="0" applyNumberFormat="1" applyFont="1" applyFill="1" applyBorder="1" applyAlignment="1">
      <x:alignment horizontal="center" vertical="bottom" wrapText="0"/>
    </x:xf>
    <x:xf numFmtId="164" fontId="36" fillId="4" borderId="103" xfId="0" applyNumberFormat="1" applyFont="1" applyFill="1" applyBorder="1" applyAlignment="1">
      <x:alignment horizontal="center" vertical="top" wrapText="0"/>
    </x:xf>
    <x:xf numFmtId="164" fontId="36" fillId="4" borderId="104" xfId="0" applyNumberFormat="1" applyFont="1" applyFill="1" applyBorder="1" applyAlignment="1">
      <x:alignment horizontal="center" vertical="top" wrapText="0"/>
    </x:xf>
    <x:xf numFmtId="173" fontId="33" fillId="0" borderId="69" xfId="0" applyNumberFormat="1" applyFont="1" applyFill="1" applyBorder="1" applyAlignment="1">
      <x:alignment horizontal="center" vertical="top" wrapText="0"/>
    </x:xf>
    <x:xf numFmtId="173" fontId="33" fillId="0" borderId="110" xfId="0" applyNumberFormat="1" applyFont="1" applyFill="1" applyBorder="1" applyAlignment="1">
      <x:alignment horizontal="center" vertical="top" wrapText="0"/>
    </x:xf>
    <x:xf numFmtId="164" fontId="33" fillId="0" borderId="115" xfId="0" applyNumberFormat="1" applyFont="1" applyFill="1" applyBorder="1" applyAlignment="1">
      <x:alignment horizontal="center" vertical="bottom" wrapText="0"/>
    </x:xf>
    <x:xf numFmtId="164" fontId="33" fillId="0" borderId="116" xfId="0" applyNumberFormat="1" applyFont="1" applyFill="1" applyBorder="1" applyAlignment="1">
      <x:alignment horizontal="center" vertical="bottom" wrapText="0"/>
    </x:xf>
    <x:xf numFmtId="164" fontId="34" fillId="3" borderId="1" xfId="0" applyNumberFormat="1" applyFont="1" applyFill="1" applyBorder="1" applyAlignment="1">
      <x:alignment horizontal="left" vertical="top" wrapText="1"/>
    </x:xf>
    <x:xf numFmtId="164" fontId="33" fillId="3" borderId="13" xfId="0" applyNumberFormat="1" applyFont="1" applyFill="1" applyBorder="1" applyAlignment="1">
      <x:alignment horizontal="center" vertical="top" wrapText="1"/>
    </x:xf>
    <x:xf numFmtId="164" fontId="33" fillId="3" borderId="3" xfId="0" applyNumberFormat="1" applyFont="1" applyFill="1" applyBorder="1" applyAlignment="1">
      <x:alignment horizontal="right" vertical="top" wrapText="1"/>
    </x:xf>
    <x:xf numFmtId="164" fontId="35" fillId="6" borderId="51" xfId="0" applyNumberFormat="1" applyFont="1" applyFill="1" applyBorder="1" applyAlignment="1">
      <x:alignment horizontal="right" vertical="bottom" wrapText="1"/>
    </x:xf>
    <x:xf numFmtId="164" fontId="39" fillId="0" borderId="2" xfId="0" applyNumberFormat="1" applyFont="1" applyFill="1" applyBorder="1" applyAlignment="1">
      <x:alignment horizontal="center" vertical="bottom" wrapText="1"/>
    </x:xf>
    <x:xf numFmtId="164" fontId="39" fillId="0" borderId="43" xfId="0" applyNumberFormat="1" applyFont="1" applyFill="1" applyBorder="1" applyAlignment="1">
      <x:alignment horizontal="center" vertical="bottom" wrapText="1"/>
    </x:xf>
    <x:xf numFmtId="164" fontId="34" fillId="3" borderId="68" xfId="0" applyNumberFormat="1" applyFont="1" applyFill="1" applyBorder="1" applyAlignment="1">
      <x:alignment horizontal="left" vertical="top" wrapText="1"/>
    </x:xf>
    <x:xf numFmtId="164" fontId="33" fillId="3" borderId="80" xfId="0" applyNumberFormat="1" applyFont="1" applyFill="1" applyBorder="1" applyAlignment="1">
      <x:alignment horizontal="center" vertical="top" wrapText="1"/>
    </x:xf>
    <x:xf numFmtId="164" fontId="33" fillId="3" borderId="70" xfId="0" applyNumberFormat="1" applyFont="1" applyFill="1" applyBorder="1" applyAlignment="1">
      <x:alignment horizontal="right" vertical="top" wrapText="1"/>
    </x:xf>
    <x:xf numFmtId="164" fontId="35" fillId="6" borderId="118" xfId="0" applyNumberFormat="1" applyFont="1" applyFill="1" applyBorder="1" applyAlignment="1">
      <x:alignment horizontal="right" vertical="bottom" wrapText="1"/>
    </x:xf>
    <x:xf numFmtId="164" fontId="39" fillId="0" borderId="69" xfId="0" applyNumberFormat="1" applyFont="1" applyFill="1" applyBorder="1" applyAlignment="1">
      <x:alignment horizontal="center" vertical="bottom" wrapText="1"/>
    </x:xf>
    <x:xf numFmtId="164" fontId="39" fillId="0" borderId="110" xfId="0" applyNumberFormat="1" applyFont="1" applyFill="1" applyBorder="1" applyAlignment="1">
      <x:alignment horizontal="center" vertical="bottom" wrapText="1"/>
    </x:xf>
    <x:xf numFmtId="164" fontId="36" fillId="4" borderId="61" xfId="0" applyNumberFormat="1" applyFont="1" applyFill="1" applyBorder="1" applyAlignment="1">
      <x:alignment horizontal="center" vertical="top" wrapText="0"/>
    </x:xf>
    <x:xf numFmtId="164" fontId="36" fillId="4" borderId="62" xfId="0" applyNumberFormat="1" applyFont="1" applyFill="1" applyBorder="1" applyAlignment="1">
      <x:alignment horizontal="center" vertical="top" wrapText="0"/>
    </x:xf>
    <x:xf numFmtId="164" fontId="39" fillId="0" borderId="2" xfId="0" applyNumberFormat="1" applyFont="1" applyFill="1" applyBorder="1" applyAlignment="1">
      <x:alignment horizontal="center" vertical="bottom" wrapText="0"/>
    </x:xf>
    <x:xf numFmtId="164" fontId="39" fillId="0" borderId="43" xfId="0" applyNumberFormat="1" applyFont="1" applyFill="1" applyBorder="1" applyAlignment="1">
      <x:alignment horizontal="center" vertical="bottom" wrapText="0"/>
    </x:xf>
    <x:xf numFmtId="164" fontId="39" fillId="0" borderId="48" xfId="0" applyNumberFormat="1" applyFont="1" applyFill="1" applyBorder="1" applyAlignment="1">
      <x:alignment horizontal="center" vertical="bottom" wrapText="0"/>
    </x:xf>
    <x:xf numFmtId="164" fontId="39" fillId="0" borderId="49" xfId="0" applyNumberFormat="1" applyFont="1" applyFill="1" applyBorder="1" applyAlignment="1">
      <x:alignment horizontal="center" vertical="bottom" wrapText="0"/>
    </x:xf>
    <x:xf numFmtId="164" fontId="39" fillId="0" borderId="26" xfId="0" applyNumberFormat="1" applyFont="1" applyFill="1" applyBorder="1" applyAlignment="1">
      <x:alignment horizontal="center" vertical="bottom" wrapText="0"/>
    </x:xf>
    <x:xf numFmtId="164" fontId="39" fillId="0" borderId="41" xfId="0" applyNumberFormat="1" applyFont="1" applyFill="1" applyBorder="1" applyAlignment="1">
      <x:alignment horizontal="center" vertical="bottom" wrapText="0"/>
    </x:xf>
    <x:xf numFmtId="164" fontId="39" fillId="0" borderId="53" xfId="0" applyNumberFormat="1" applyFont="1" applyFill="1" applyBorder="1" applyAlignment="1">
      <x:alignment horizontal="center" vertical="bottom" wrapText="0"/>
    </x:xf>
    <x:xf numFmtId="164" fontId="39" fillId="0" borderId="54" xfId="0" applyNumberFormat="1" applyFont="1" applyFill="1" applyBorder="1" applyAlignment="1">
      <x:alignment horizontal="center" vertical="bottom" wrapText="0"/>
    </x:xf>
    <x:xf numFmtId="164" fontId="41" fillId="0" borderId="55" xfId="0" applyNumberFormat="1" applyFont="1" applyFill="1" applyBorder="1" applyAlignment="1">
      <x:alignment horizontal="center" vertical="bottom" wrapText="0"/>
    </x:xf>
    <x:xf numFmtId="164" fontId="41" fillId="0" borderId="56" xfId="0" applyNumberFormat="1" applyFont="1" applyFill="1" applyBorder="1" applyAlignment="1">
      <x:alignment horizontal="center" vertical="bottom" wrapText="0"/>
    </x:xf>
    <x:xf numFmtId="164" fontId="41" fillId="0" borderId="2" xfId="0" applyNumberFormat="1" applyFont="1" applyFill="1" applyBorder="1" applyAlignment="1">
      <x:alignment horizontal="center" vertical="bottom" wrapText="0"/>
    </x:xf>
    <x:xf numFmtId="164" fontId="41" fillId="0" borderId="43" xfId="0" applyNumberFormat="1" applyFont="1" applyFill="1" applyBorder="1" applyAlignment="1">
      <x:alignment horizontal="center" vertical="bottom" wrapText="0"/>
    </x:xf>
    <x:xf numFmtId="164" fontId="36" fillId="4" borderId="128" xfId="0" applyNumberFormat="1" applyFont="1" applyFill="1" applyBorder="1" applyAlignment="1">
      <x:alignment horizontal="center" vertical="top" wrapText="0"/>
    </x:xf>
    <x:xf numFmtId="164" fontId="36" fillId="4" borderId="129" xfId="0" applyNumberFormat="1" applyFont="1" applyFill="1" applyBorder="1" applyAlignment="1">
      <x:alignment horizontal="center" vertical="top" wrapText="0"/>
    </x:xf>
    <x:xf numFmtId="164" fontId="36" fillId="4" borderId="63" xfId="0" applyNumberFormat="1" applyFont="1" applyFill="1" applyBorder="1" applyAlignment="1">
      <x:alignment horizontal="center" vertical="top" wrapText="0"/>
    </x:xf>
    <x:xf numFmtId="164" fontId="36" fillId="4" borderId="64" xfId="0" applyNumberFormat="1" applyFont="1" applyFill="1" applyBorder="1" applyAlignment="1">
      <x:alignment horizontal="center" vertical="top" wrapText="0"/>
    </x:xf>
    <x:xf numFmtId="164" fontId="36" fillId="4" borderId="130" xfId="0" applyNumberFormat="1" applyFont="1" applyFill="1" applyBorder="1" applyAlignment="1">
      <x:alignment horizontal="center" vertical="top" wrapText="0"/>
    </x:xf>
    <x:xf numFmtId="164" fontId="36" fillId="4" borderId="131" xfId="0" applyNumberFormat="1" applyFont="1" applyFill="1" applyBorder="1" applyAlignment="1">
      <x:alignment horizontal="center" vertical="top" wrapText="0"/>
    </x:xf>
    <x:xf numFmtId="200" fontId="10" fillId="3" borderId="2" xfId="0" applyNumberFormat="1" applyFont="1" applyFill="1" applyBorder="1" applyAlignment="1">
      <x:alignment horizontal="left" vertical="top" wrapText="0"/>
    </x:xf>
  </x:cellXfs>
  <x:cellStyles count="13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Normal_Functional Test Case v1.0" xfId="21"/>
    <x:cellStyle name="Normal_Sheet1" xfId="22"/>
    <x:cellStyle name="Normal_Sheet1_Template_UnitTest Case_v0.9" xfId="23"/>
    <x:cellStyle name="Normal_Template_UnitTest Case_v0.9" xfId="24"/>
    <x:cellStyle name="Normal_Template_UnitTest Case_v0.9_Template_UnitTest Case_v0.9" xfId="25"/>
    <x:cellStyle name="標準_結合試験(AllOvertheWorld)" xfId="26"/>
    <x:cellStyle name="*unknown*" xfId="2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a31c8a7c3f40bf" /><Relationship Type="http://schemas.openxmlformats.org/officeDocument/2006/relationships/theme" Target="/xl/theme/theme1.xml" Id="R75805b6e370c49ee" /><Relationship Type="http://schemas.openxmlformats.org/officeDocument/2006/relationships/sharedStrings" Target="/xl/sharedStrings.xml" Id="R6fc5f9863cbd457f" /><Relationship Type="http://schemas.openxmlformats.org/officeDocument/2006/relationships/worksheet" Target="/xl/worksheets/sheet1.xml" Id="Rc63a424bdf254504" /><Relationship Type="http://schemas.openxmlformats.org/officeDocument/2006/relationships/worksheet" Target="/xl/worksheets/sheet2.xml" Id="Ra2770a7183d5415d" /><Relationship Type="http://schemas.openxmlformats.org/officeDocument/2006/relationships/worksheet" Target="/xl/worksheets/sheet3.xml" Id="R0b054717233a4f43" /><Relationship Type="http://schemas.openxmlformats.org/officeDocument/2006/relationships/worksheet" Target="/xl/worksheets/sheet4.xml" Id="Reffd4e0495b7430f" /><Relationship Type="http://schemas.openxmlformats.org/officeDocument/2006/relationships/worksheet" Target="/xl/worksheets/sheet5.xml" Id="Re0a3599959144c53" /><Relationship Type="http://schemas.openxmlformats.org/officeDocument/2006/relationships/worksheet" Target="/xl/worksheets/sheet6.xml" Id="R6d243f15a1534273" /><Relationship Type="http://schemas.openxmlformats.org/officeDocument/2006/relationships/worksheet" Target="/xl/worksheets/sheet7.xml" Id="Rd094ccbf166845f4" /><Relationship Type="http://schemas.openxmlformats.org/officeDocument/2006/relationships/worksheet" Target="/xl/worksheets/sheet8.xml" Id="R90b005e29362499a" /><Relationship Type="http://schemas.microsoft.com/office/2017/10/relationships/person" Target="/xl/persons/person.xml" Id="R6d12c095ed99463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3823d4154ac74ef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e73465900474ac5" /><Relationship Type="http://schemas.openxmlformats.org/officeDocument/2006/relationships/chart" Target="/xl/drawings/charts/chart2.xml" Id="R4c93577854fe4be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 b="1" u="none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rPr>
              <a:t>Test Type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 b="1" u="none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</a:p>
      </c:txPr>
    </c:title>
    <c:autoTitleDeleted val="0"/>
    <c:plotArea>
      <c:layout/>
      <c:pieChart>
        <c:ser>
          <c:idx val="0"/>
          <c:order val="0"/>
          <c:spPr>
            <a:solidFill xmlns:a="http://schemas.openxmlformats.org/drawingml/2006/main">
              <a:srgbClr val="9999FF"/>
            </a:solidFill>
            <a:ln xmlns:a="http://schemas.openxmlformats.org/drawingml/2006/main" w="12600">
              <a:solidFill>
                <a:srgbClr val="000000"/>
              </a:solidFill>
            </a:ln>
          </c:spPr>
          <c:explosion val="0"/>
          <c:dPt>
            <c:idx val="0"/>
            <c:spPr>
              <a:solidFill xmlns:a="http://schemas.openxmlformats.org/drawingml/2006/main">
                <a:srgbClr val="9999FF"/>
              </a:solidFill>
              <a:ln xmlns:a="http://schemas.openxmlformats.org/drawingml/2006/main" w="12600">
                <a:solidFill>
                  <a:srgbClr val="000000"/>
                </a:solidFill>
              </a:ln>
            </c:spPr>
          </c:dPt>
          <c:dPt>
            <c:idx val="1"/>
            <c:spPr>
              <a:solidFill xmlns:a="http://schemas.openxmlformats.org/drawingml/2006/main">
                <a:srgbClr val="993366"/>
              </a:solidFill>
              <a:ln xmlns:a="http://schemas.openxmlformats.org/drawingml/2006/main" w="12600">
                <a:solidFill>
                  <a:srgbClr val="000000"/>
                </a:solidFill>
              </a:ln>
            </c:spPr>
          </c:dPt>
          <c:dPt>
            <c:idx val="2"/>
            <c:spPr>
              <a:solidFill xmlns:a="http://schemas.openxmlformats.org/drawingml/2006/main">
                <a:srgbClr val="FFFFCC"/>
              </a:solidFill>
              <a:ln xmlns:a="http://schemas.openxmlformats.org/drawingml/2006/main" w="12600">
                <a:solidFill>
                  <a:srgbClr val="000000"/>
                </a:solidFill>
              </a:ln>
            </c:spPr>
          </c:dPt>
          <c:cat>
            <c:strRef>
              <c:f>'Test Report'!$F$11:$H$11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'Test Report'!$F$17:$H$17</c:f>
              <c:numCache>
                <c:formatCode>General</c:formatCode>
                <c:ptCount val="3"/>
                <c:pt idx="0">
                  <c:v>35</c:v>
                </c:pt>
                <c:pt idx="1">
                  <c:v>7</c:v>
                </c:pt>
                <c:pt idx="2">
                  <c:v>3</c:v>
                </c:pt>
              </c:numCache>
            </c:numRef>
          </c:val>
        </c:ser>
        <c:ser>
          <c:idx val="1"/>
          <c:order val="1"/>
          <c:spPr>
            <a:solidFill xmlns:a="http://schemas.openxmlformats.org/drawingml/2006/main">
              <a:srgbClr val="993366"/>
            </a:solidFill>
            <a:ln xmlns:a="http://schemas.openxmlformats.org/drawingml/2006/main" w="12600">
              <a:solidFill>
                <a:srgbClr val="000000"/>
              </a:solidFill>
            </a:ln>
          </c:spPr>
          <c:explosion val="0"/>
          <c:dPt>
            <c:idx val="0"/>
            <c:spPr>
              <a:solidFill xmlns:a="http://schemas.openxmlformats.org/drawingml/2006/main">
                <a:srgbClr val="9999FF"/>
              </a:solidFill>
              <a:ln xmlns:a="http://schemas.openxmlformats.org/drawingml/2006/main" w="12600">
                <a:solidFill>
                  <a:srgbClr val="000000"/>
                </a:solidFill>
              </a:ln>
            </c:spPr>
          </c:dPt>
          <c:dPt>
            <c:idx val="1"/>
            <c:spPr>
              <a:solidFill xmlns:a="http://schemas.openxmlformats.org/drawingml/2006/main">
                <a:srgbClr val="993366"/>
              </a:solidFill>
              <a:ln xmlns:a="http://schemas.openxmlformats.org/drawingml/2006/main" w="12600">
                <a:solidFill>
                  <a:srgbClr val="000000"/>
                </a:solidFill>
              </a:ln>
            </c:spPr>
          </c:dPt>
          <c:dPt>
            <c:idx val="2"/>
            <c:spPr>
              <a:solidFill xmlns:a="http://schemas.openxmlformats.org/drawingml/2006/main">
                <a:srgbClr val="FFFFCC"/>
              </a:solidFill>
              <a:ln xmlns:a="http://schemas.openxmlformats.org/drawingml/2006/main" w="12600">
                <a:solidFill>
                  <a:srgbClr val="000000"/>
                </a:solidFill>
              </a:ln>
            </c:spPr>
          </c:dPt>
          <c:cat>
            <c:strRef>
              <c:f>'Test Report'!$F$11:$H$11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'Test Report'!$F$16:$H$16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spPr>
            <a:solidFill xmlns:a="http://schemas.openxmlformats.org/drawingml/2006/main">
              <a:srgbClr val="FFFFCC"/>
            </a:solidFill>
            <a:ln xmlns:a="http://schemas.openxmlformats.org/drawingml/2006/main" w="12600">
              <a:solidFill>
                <a:srgbClr val="000000"/>
              </a:solidFill>
            </a:ln>
          </c:spPr>
          <c:explosion val="0"/>
          <c:cat>
            <c:strRef>
              <c:f>'Test Report'!$F$11:$H$11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Lit>
              <c:formatCode>General</c:formatCode>
              <c:ptCount val="0"/>
            </c:numLit>
          </c:val>
        </c:ser>
        <c:ser>
          <c:idx val="3"/>
          <c:order val="3"/>
          <c:spPr>
            <a:solidFill xmlns:a="http://schemas.openxmlformats.org/drawingml/2006/main">
              <a:srgbClr val="CCFFFF"/>
            </a:solidFill>
            <a:ln xmlns:a="http://schemas.openxmlformats.org/drawingml/2006/main" w="12600">
              <a:solidFill>
                <a:srgbClr val="000000"/>
              </a:solidFill>
            </a:ln>
          </c:spPr>
          <c:explosion val="0"/>
          <c:cat>
            <c:strRef>
              <c:f>'Test Report'!$F$11:$H$11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Lit>
              <c:formatCode>General</c:formatCode>
              <c:ptCount val="0"/>
            </c:numLit>
          </c:val>
        </c:ser>
        <c:ser>
          <c:idx val="4"/>
          <c:order val="4"/>
          <c:spPr>
            <a:solidFill xmlns:a="http://schemas.openxmlformats.org/drawingml/2006/main">
              <a:srgbClr val="660066"/>
            </a:solidFill>
            <a:ln xmlns:a="http://schemas.openxmlformats.org/drawingml/2006/main" w="12600">
              <a:solidFill>
                <a:srgbClr val="000000"/>
              </a:solidFill>
            </a:ln>
          </c:spPr>
          <c:explosion val="0"/>
          <c:dPt>
            <c:idx val="0"/>
            <c:spPr>
              <a:solidFill xmlns:a="http://schemas.openxmlformats.org/drawingml/2006/main">
                <a:srgbClr val="9999FF"/>
              </a:solidFill>
              <a:ln xmlns:a="http://schemas.openxmlformats.org/drawingml/2006/main" w="12600">
                <a:solidFill>
                  <a:srgbClr val="000000"/>
                </a:solidFill>
              </a:ln>
            </c:spPr>
          </c:dPt>
          <c:dPt>
            <c:idx val="1"/>
            <c:spPr>
              <a:solidFill xmlns:a="http://schemas.openxmlformats.org/drawingml/2006/main">
                <a:srgbClr val="993366"/>
              </a:solidFill>
              <a:ln xmlns:a="http://schemas.openxmlformats.org/drawingml/2006/main" w="12600">
                <a:solidFill>
                  <a:srgbClr val="000000"/>
                </a:solidFill>
              </a:ln>
            </c:spPr>
          </c:dPt>
          <c:dPt>
            <c:idx val="2"/>
            <c:spPr>
              <a:solidFill xmlns:a="http://schemas.openxmlformats.org/drawingml/2006/main">
                <a:srgbClr val="FFFFCC"/>
              </a:solidFill>
              <a:ln xmlns:a="http://schemas.openxmlformats.org/drawingml/2006/main" w="12600">
                <a:solidFill>
                  <a:srgbClr val="000000"/>
                </a:solidFill>
              </a:ln>
            </c:spPr>
          </c:dPt>
          <c:cat>
            <c:strRef>
              <c:f>'Test Report'!$F$11:$H$11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'Test Report'!$F$17:$H$17</c:f>
              <c:numCache>
                <c:formatCode>General</c:formatCode>
                <c:ptCount val="3"/>
                <c:pt idx="0">
                  <c:v>35</c:v>
                </c:pt>
                <c:pt idx="1">
                  <c:v>7</c:v>
                </c:pt>
                <c:pt idx="2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spPr>
        <a:solidFill xmlns:a="http://schemas.openxmlformats.org/drawingml/2006/main">
          <a:srgbClr val="FFFFFF"/>
        </a:solidFill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5" b="0" u="none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0">
      <a:solidFill>
        <a:srgbClr val="000000"/>
      </a:solidFill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00" b="1" u="none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rPr>
              <a:t>Passed Percent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00" b="1" u="none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</a:p>
      </c:txPr>
    </c:title>
    <c:autoTitleDeleted val="0"/>
    <c:plotArea>
      <c:layout/>
      <c:pieChart>
        <c:ser>
          <c:idx val="0"/>
          <c:order val="0"/>
          <c:spPr>
            <a:solidFill xmlns:a="http://schemas.openxmlformats.org/drawingml/2006/main">
              <a:srgbClr val="9999FF"/>
            </a:solidFill>
            <a:ln xmlns:a="http://schemas.openxmlformats.org/drawingml/2006/main" w="12600">
              <a:solidFill>
                <a:srgbClr val="000000"/>
              </a:solidFill>
            </a:ln>
          </c:spPr>
          <c:explosion val="0"/>
          <c:dPt>
            <c:idx val="0"/>
            <c:spPr>
              <a:solidFill xmlns:a="http://schemas.openxmlformats.org/drawingml/2006/main">
                <a:srgbClr val="9999FF"/>
              </a:solidFill>
              <a:ln xmlns:a="http://schemas.openxmlformats.org/drawingml/2006/main" w="12600">
                <a:solidFill>
                  <a:srgbClr val="000000"/>
                </a:solidFill>
              </a:ln>
            </c:spPr>
          </c:dPt>
          <c:dPt>
            <c:idx val="1"/>
            <c:spPr>
              <a:solidFill xmlns:a="http://schemas.openxmlformats.org/drawingml/2006/main">
                <a:srgbClr val="993366"/>
              </a:solidFill>
              <a:ln xmlns:a="http://schemas.openxmlformats.org/drawingml/2006/main" w="12600">
                <a:solidFill>
                  <a:srgbClr val="000000"/>
                </a:solidFill>
              </a:ln>
            </c:spPr>
          </c:dPt>
          <c:dPt>
            <c:idx val="2"/>
            <c:spPr>
              <a:solidFill xmlns:a="http://schemas.openxmlformats.org/drawingml/2006/main">
                <a:srgbClr val="FFFFCC"/>
              </a:solidFill>
              <a:ln xmlns:a="http://schemas.openxmlformats.org/drawingml/2006/main" w="12600">
                <a:solidFill>
                  <a:srgbClr val="000000"/>
                </a:solidFill>
              </a:ln>
            </c:spPr>
          </c:dPt>
          <c:cat>
            <c:strRef>
              <c:f>'Test Report'!$C$11:$E$11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'Test Report'!$C$17:$E$17</c:f>
              <c:numCache>
                <c:formatCode>General</c:formatCode>
                <c:ptCount val="3"/>
                <c:pt idx="0">
                  <c:v>36</c:v>
                </c:pt>
                <c:pt idx="1">
                  <c:v>7</c:v>
                </c:pt>
                <c:pt idx="2">
                  <c:v>2</c:v>
                </c:pt>
              </c:numCache>
            </c:numRef>
          </c:val>
        </c:ser>
        <c:ser>
          <c:idx val="1"/>
          <c:order val="1"/>
          <c:spPr>
            <a:solidFill xmlns:a="http://schemas.openxmlformats.org/drawingml/2006/main">
              <a:srgbClr val="993366"/>
            </a:solidFill>
            <a:ln xmlns:a="http://schemas.openxmlformats.org/drawingml/2006/main" w="12600">
              <a:solidFill>
                <a:srgbClr val="000000"/>
              </a:solidFill>
            </a:ln>
          </c:spPr>
          <c:explosion val="0"/>
          <c:dPt>
            <c:idx val="0"/>
            <c:spPr>
              <a:solidFill xmlns:a="http://schemas.openxmlformats.org/drawingml/2006/main">
                <a:srgbClr val="9999FF"/>
              </a:solidFill>
              <a:ln xmlns:a="http://schemas.openxmlformats.org/drawingml/2006/main" w="12600">
                <a:solidFill>
                  <a:srgbClr val="000000"/>
                </a:solidFill>
              </a:ln>
            </c:spPr>
          </c:dPt>
          <c:dPt>
            <c:idx val="1"/>
            <c:spPr>
              <a:solidFill xmlns:a="http://schemas.openxmlformats.org/drawingml/2006/main">
                <a:srgbClr val="993366"/>
              </a:solidFill>
              <a:ln xmlns:a="http://schemas.openxmlformats.org/drawingml/2006/main" w="12600">
                <a:solidFill>
                  <a:srgbClr val="000000"/>
                </a:solidFill>
              </a:ln>
            </c:spPr>
          </c:dPt>
          <c:dPt>
            <c:idx val="2"/>
            <c:spPr>
              <a:solidFill xmlns:a="http://schemas.openxmlformats.org/drawingml/2006/main">
                <a:srgbClr val="FFFFCC"/>
              </a:solidFill>
              <a:ln xmlns:a="http://schemas.openxmlformats.org/drawingml/2006/main" w="12600">
                <a:solidFill>
                  <a:srgbClr val="000000"/>
                </a:solidFill>
              </a:ln>
            </c:spPr>
          </c:dPt>
          <c:cat>
            <c:strRef>
              <c:f>'Test Report'!$C$11:$E$11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'Test Report'!$C$16:$E$16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spPr>
            <a:solidFill xmlns:a="http://schemas.openxmlformats.org/drawingml/2006/main">
              <a:srgbClr val="FFFFCC"/>
            </a:solidFill>
            <a:ln xmlns:a="http://schemas.openxmlformats.org/drawingml/2006/main" w="12600">
              <a:solidFill>
                <a:srgbClr val="000000"/>
              </a:solidFill>
            </a:ln>
          </c:spPr>
          <c:explosion val="0"/>
          <c:cat>
            <c:strRef>
              <c:f>'Test Report'!$C$11:$E$11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Lit>
              <c:formatCode>General</c:formatCode>
              <c:ptCount val="0"/>
            </c:numLit>
          </c:val>
        </c:ser>
        <c:ser>
          <c:idx val="3"/>
          <c:order val="3"/>
          <c:spPr>
            <a:solidFill xmlns:a="http://schemas.openxmlformats.org/drawingml/2006/main">
              <a:srgbClr val="CCFFFF"/>
            </a:solidFill>
            <a:ln xmlns:a="http://schemas.openxmlformats.org/drawingml/2006/main" w="12600">
              <a:solidFill>
                <a:srgbClr val="000000"/>
              </a:solidFill>
            </a:ln>
          </c:spPr>
          <c:explosion val="0"/>
          <c:cat>
            <c:strRef>
              <c:f>'Test Report'!$C$11:$E$11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Lit>
              <c:formatCode>General</c:formatCode>
              <c:ptCount val="0"/>
            </c:numLit>
          </c:val>
        </c:ser>
        <c:ser>
          <c:idx val="4"/>
          <c:order val="4"/>
          <c:spPr>
            <a:solidFill xmlns:a="http://schemas.openxmlformats.org/drawingml/2006/main">
              <a:srgbClr val="660066"/>
            </a:solidFill>
            <a:ln xmlns:a="http://schemas.openxmlformats.org/drawingml/2006/main" w="12600">
              <a:solidFill>
                <a:srgbClr val="000000"/>
              </a:solidFill>
            </a:ln>
          </c:spPr>
          <c:explosion val="0"/>
          <c:dPt>
            <c:idx val="0"/>
            <c:spPr>
              <a:solidFill xmlns:a="http://schemas.openxmlformats.org/drawingml/2006/main">
                <a:srgbClr val="9999FF"/>
              </a:solidFill>
              <a:ln xmlns:a="http://schemas.openxmlformats.org/drawingml/2006/main" w="12600">
                <a:solidFill>
                  <a:srgbClr val="000000"/>
                </a:solidFill>
              </a:ln>
            </c:spPr>
          </c:dPt>
          <c:dPt>
            <c:idx val="1"/>
            <c:spPr>
              <a:solidFill xmlns:a="http://schemas.openxmlformats.org/drawingml/2006/main">
                <a:srgbClr val="993366"/>
              </a:solidFill>
              <a:ln xmlns:a="http://schemas.openxmlformats.org/drawingml/2006/main" w="12600">
                <a:solidFill>
                  <a:srgbClr val="000000"/>
                </a:solidFill>
              </a:ln>
            </c:spPr>
          </c:dPt>
          <c:dPt>
            <c:idx val="2"/>
            <c:spPr>
              <a:solidFill xmlns:a="http://schemas.openxmlformats.org/drawingml/2006/main">
                <a:srgbClr val="FFFFCC"/>
              </a:solidFill>
              <a:ln xmlns:a="http://schemas.openxmlformats.org/drawingml/2006/main" w="12600">
                <a:solidFill>
                  <a:srgbClr val="000000"/>
                </a:solidFill>
              </a:ln>
            </c:spPr>
          </c:dPt>
          <c:cat>
            <c:strRef>
              <c:f>'Test Report'!$C$11:$E$11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'Test Report'!$C$17:$E$17</c:f>
              <c:numCache>
                <c:formatCode>General</c:formatCode>
                <c:ptCount val="3"/>
                <c:pt idx="0">
                  <c:v>36</c:v>
                </c:pt>
                <c:pt idx="1">
                  <c:v>7</c:v>
                </c:pt>
                <c:pt idx="2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spPr>
        <a:solidFill xmlns:a="http://schemas.openxmlformats.org/drawingml/2006/main">
          <a:srgbClr val="FFFFFF"/>
        </a:solidFill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25" b="0" u="none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0">
      <a:solidFill>
        <a:srgbClr val="000000"/>
      </a:solidFill>
    </a:ln>
  </c:spPr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70200</xdr:colOff>
      <xdr:row>1</xdr:row>
      <xdr:rowOff>123840</xdr:rowOff>
    </xdr:from>
    <xdr:to>
      <xdr:col>0</xdr:col>
      <xdr:colOff>1380600</xdr:colOff>
      <xdr:row>1</xdr:row>
      <xdr:rowOff>849240</xdr:rowOff>
    </xdr:to>
    <xdr:pic>
      <xdr:nvPicPr>
        <xdr:cNvPr id="1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23d4154ac74e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</xdr:col>
      <xdr:colOff>569880</xdr:colOff>
      <xdr:row>24</xdr:row>
      <xdr:rowOff>0</xdr:rowOff>
    </xdr:from>
    <xdr:to>
      <xdr:col>9</xdr:col>
      <xdr:colOff>2520</xdr:colOff>
      <xdr:row>39</xdr:row>
      <xdr:rowOff>9360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73465900474ac5"/>
        </a:graphicData>
      </a:graphic>
    </xdr:graphicFrame>
    <xdr:clientData/>
  </xdr:twoCellAnchor>
  <xdr:twoCellAnchor>
    <xdr:from>
      <xdr:col>0</xdr:col>
      <xdr:colOff>119880</xdr:colOff>
      <xdr:row>24</xdr:row>
      <xdr:rowOff>19080</xdr:rowOff>
    </xdr:from>
    <xdr:to>
      <xdr:col>3</xdr:col>
      <xdr:colOff>250560</xdr:colOff>
      <xdr:row>38</xdr:row>
      <xdr:rowOff>162000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93577854fe4be9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nknown Author" id="{441D3B8E-E9EA-DA91-7A0D-7BDB7350A610}"/>
  <xltc:person displayName="Unknown Author" id="{4B025019-1967-3C0A-EA18-4055E01B6420}"/>
  <xltc:person displayName="Unknown Author" id="{72217FF2-72E0-CCE6-D12D-486F48A995A9}"/>
  <xltc:person displayName="Unknown Author" id="{59FF0258-7436-68EB-B878-4194557F3B83}"/>
  <xltc:person displayName="Unknown Author" id="{52B6F4B7-5832-F87F-7025-127020A7C9FE}"/>
</xltc:personList>
</file>

<file path=xl/theme/theme1.xml><?xml version="1.0" encoding="utf-8"?>
<a:theme xmlns:a="http://schemas.openxmlformats.org/drawing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4e9607de03744165" /><Relationship Type="http://schemas.openxmlformats.org/officeDocument/2006/relationships/vmlDrawing" Target="/xl/drawings/vmldrawing.vml" Id="Rde2ec83d69334ed6" /><Relationship Type="http://schemas.openxmlformats.org/officeDocument/2006/relationships/drawing" Target="/xl/drawings/drawing1.xml" Id="R1fe86895827444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05a01b7e1ffa4b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2.xml" Id="R9e53ca6d367d44ef" /><Relationship Type="http://schemas.openxmlformats.org/officeDocument/2006/relationships/vmlDrawing" Target="/xl/drawings/vmldrawing2.vml" Id="Rf88275ca42c649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3.xml" Id="Rc605a41150db477e" /><Relationship Type="http://schemas.openxmlformats.org/officeDocument/2006/relationships/vmlDrawing" Target="/xl/drawings/vmldrawing3.vml" Id="R9582bc31f70048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4.xml" Id="Rcd16cd2cc9d145fb" /><Relationship Type="http://schemas.openxmlformats.org/officeDocument/2006/relationships/vmlDrawing" Target="/xl/drawings/vmldrawing4.vml" Id="Re3a979c1df2d42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5.xml" Id="R4e924e0a2cfb4034" /><Relationship Type="http://schemas.openxmlformats.org/officeDocument/2006/relationships/vmlDrawing" Target="/xl/drawings/vmldrawing5.vml" Id="R2c75a442999040a3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9921875" defaultRowHeight="14.25"/>
  <x:cols>
    <x:col min="1" max="1" width="119.37000274658203" style="1" hidden="0" customWidth="1"/>
    <x:col min="2" max="257" width="8.989999771118164" style="1" hidden="0" customWidth="0"/>
  </x:cols>
  <x:sheetData>
    <x:row r="1" ht="22.5" hidden="0">
      <x:c r="A1" s="2" t="s">
        <x:v>0</x:v>
      </x:c>
    </x:row>
    <x:row r="2" ht="22.5" hidden="0">
      <x:c r="A2" s="2"/>
    </x:row>
    <x:row r="3" ht="18" hidden="0">
      <x:c r="A3" s="3" t="s">
        <x:v>1</x:v>
      </x:c>
    </x:row>
    <x:row r="4" ht="15" hidden="0" customHeight="1">
      <x:c r="A4" s="4" t="s">
        <x:v>2</x:v>
      </x:c>
    </x:row>
    <x:row r="5" ht="15" hidden="0" customHeight="1">
      <x:c r="A5" s="4" t="s">
        <x:v>3</x:v>
      </x:c>
    </x:row>
    <x:row r="6" ht="38.25" hidden="0">
      <x:c r="A6" s="5" t="s">
        <x:v>4</x:v>
      </x:c>
    </x:row>
    <x:row r="7" ht="29.25" hidden="0" customHeight="1">
      <x:c r="A7" s="5" t="s">
        <x:v>5</x:v>
      </x:c>
    </x:row>
    <x:row r="8" ht="30" hidden="0" customHeight="1">
      <x:c r="A8" s="6" t="s">
        <x:v>6</x:v>
      </x:c>
    </x:row>
    <x:row r="9" ht="16.5" hidden="0" customHeight="1">
      <x:c r="A9" s="7" t="s">
        <x:v>7</x:v>
      </x:c>
    </x:row>
    <x:row r="10" ht="16.5" hidden="0" customHeight="1">
      <x:c r="A10" s="8"/>
    </x:row>
    <x:row r="11" ht="18" hidden="0">
      <x:c r="A11" s="3" t="s">
        <x:v>8</x:v>
      </x:c>
    </x:row>
    <x:row r="12" ht="15" hidden="0">
      <x:c r="A12" s="9" t="s">
        <x:v>9</x:v>
      </x:c>
    </x:row>
    <x:row r="13" ht="25.5" hidden="0">
      <x:c r="A13" s="4" t="s">
        <x:v>10</x:v>
      </x:c>
    </x:row>
    <x:row r="14" ht="14.25" hidden="0">
      <x:c r="A14" s="4" t="s">
        <x:v>11</x:v>
      </x:c>
    </x:row>
    <x:row r="15" ht="14.25" hidden="0">
      <x:c r="A15" s="5" t="s">
        <x:v>12</x:v>
      </x:c>
    </x:row>
    <x:row r="16" ht="14.25" hidden="0">
      <x:c r="A16" s="8"/>
    </x:row>
    <x:row r="17" ht="15" hidden="0">
      <x:c r="A17" s="9" t="s">
        <x:v>13</x:v>
      </x:c>
    </x:row>
    <x:row r="18" ht="14.25" hidden="0">
      <x:c r="A18" s="4" t="s">
        <x:v>14</x:v>
      </x:c>
      <x:c r="B18" s="8"/>
    </x:row>
    <x:row r="19" ht="14.25" hidden="0">
      <x:c r="A19" s="9" t="s">
        <x:v>15</x:v>
      </x:c>
    </x:row>
    <x:row r="20" ht="14.25" hidden="0">
      <x:c r="A20" s="4" t="s">
        <x:v>16</x:v>
      </x:c>
      <x:c r="B20" s="8"/>
    </x:row>
    <x:row r="21" ht="25.5" hidden="0">
      <x:c r="A21" s="5" t="s">
        <x:v>17</x:v>
      </x:c>
    </x:row>
    <x:row r="22" ht="14.25" hidden="0">
      <x:c r="A22" s="4" t="s">
        <x:v>18</x:v>
      </x:c>
      <x:c r="B22" s="8"/>
    </x:row>
    <x:row r="23" ht="14.25" hidden="0">
      <x:c r="A23" s="4" t="s">
        <x:v>19</x:v>
      </x:c>
      <x:c r="B23" s="8"/>
    </x:row>
    <x:row r="24" ht="14.25" hidden="0">
      <x:c r="A24" s="4" t="s">
        <x:v>20</x:v>
      </x:c>
      <x:c r="B24" s="8"/>
    </x:row>
    <x:row r="25" ht="14.25" hidden="0">
      <x:c r="A25" s="4" t="s">
        <x:v>21</x:v>
      </x:c>
      <x:c r="B25" s="8"/>
      <x:c r="C25" s="8" t="s">
        <x:v>22</x:v>
      </x:c>
      <x:c r="D25" s="8" t="s">
        <x:v>22</x:v>
      </x:c>
    </x:row>
    <x:row r="26" ht="14.25" hidden="0">
      <x:c r="A26" s="4" t="s">
        <x:v>23</x:v>
      </x:c>
    </x:row>
    <x:row r="27" ht="14.25" hidden="0">
      <x:c r="A27" s="4" t="s">
        <x:v>24</x:v>
      </x:c>
      <x:c r="B27" s="8"/>
    </x:row>
    <x:row r="28" ht="14.25" hidden="0">
      <x:c r="A28" s="4" t="s">
        <x:v>25</x:v>
      </x:c>
    </x:row>
    <x:row r="29" ht="14.25" hidden="0">
      <x:c r="A29" s="4" t="s">
        <x:v>26</x:v>
      </x:c>
    </x:row>
    <x:row r="30" ht="14.25" hidden="0">
      <x:c r="A30" s="4" t="s">
        <x:v>27</x:v>
      </x:c>
      <x:c r="B30" s="8"/>
      <x:c r="C30" s="8" t="s">
        <x:v>22</x:v>
      </x:c>
    </x:row>
    <x:row r="31" ht="14.25" hidden="0">
      <x:c r="A31" s="9" t="s">
        <x:v>28</x:v>
      </x:c>
    </x:row>
    <x:row r="32" ht="30" hidden="0" customHeight="1">
      <x:c r="A32" s="5" t="s">
        <x:v>29</x:v>
      </x:c>
    </x:row>
    <x:row r="33" ht="14.25" hidden="0">
      <x:c r="A33" s="4" t="s">
        <x:v>30</x:v>
      </x:c>
    </x:row>
    <x:row r="34" ht="14.25" hidden="0">
      <x:c r="A34" s="4" t="s">
        <x:v>31</x:v>
      </x:c>
    </x:row>
    <x:row r="35" ht="14.25" hidden="0">
      <x:c r="A35" s="4" t="s">
        <x:v>32</x:v>
      </x:c>
      <x:c r="B35" s="8"/>
    </x:row>
    <x:row r="36" ht="14.25" hidden="0">
      <x:c r="A36" s="4" t="s">
        <x:v>33</x:v>
      </x:c>
      <x:c r="B36" s="8"/>
    </x:row>
    <x:row r="37" ht="14.25" hidden="0">
      <x:c r="A37" s="9" t="s">
        <x:v>34</x:v>
      </x:c>
    </x:row>
    <x:row r="38" ht="14.25" hidden="0">
      <x:c r="A38" s="4" t="s">
        <x:v>35</x:v>
      </x:c>
    </x:row>
    <x:row r="39" ht="38.25" hidden="0">
      <x:c r="A39" s="6" t="s">
        <x:v>36</x:v>
      </x:c>
      <x:c r="B39" s="8"/>
    </x:row>
    <x:row r="40" ht="14.25" hidden="0">
      <x:c r="A40" s="6"/>
      <x:c r="B40" s="8"/>
    </x:row>
    <x:row r="41" ht="15" hidden="0">
      <x:c r="A41" s="9" t="s">
        <x:v>37</x:v>
      </x:c>
    </x:row>
    <x:row r="42" ht="14.25" hidden="0">
      <x:c r="A42" s="4" t="s">
        <x:v>38</x:v>
      </x:c>
    </x:row>
    <x:row r="43" ht="14.25" hidden="0">
      <x:c r="A43" s="4" t="s">
        <x:v>39</x:v>
      </x:c>
    </x:row>
    <x:row r="44" ht="14.25" hidden="0">
      <x:c r="A44" s="4" t="s">
        <x:v>40</x:v>
      </x:c>
    </x:row>
    <x:row r="45" ht="14.25" hidden="0">
      <x:c r="A45" s="4" t="s">
        <x:v>41</x:v>
      </x:c>
    </x:row>
    <x:row r="46" ht="14.25" hidden="0">
      <x:c r="A46" s="4" t="s">
        <x:v>42</x:v>
      </x:c>
    </x:row>
    <x:row r="47" ht="14.25" hidden="0">
      <x:c r="A47" s="4" t="s">
        <x:v>43</x:v>
      </x:c>
    </x:row>
    <x:row r="48" ht="14.25" hidden="0">
      <x:c r="A48" s="8" t="s">
        <x:v>44</x:v>
      </x:c>
    </x:row>
    <x:row r="49" ht="14.25" hidden="0">
      <x:c r="A49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9921875" defaultRowHeight="12.75"/>
  <x:cols>
    <x:col min="1" max="1" width="21.360000610351562" style="10" hidden="0" customWidth="1"/>
    <x:col min="2" max="2" width="9.989999771118164" style="11" hidden="0" customWidth="1"/>
    <x:col min="3" max="3" width="14.369999885559082" style="11" hidden="0" customWidth="1"/>
    <x:col min="4" max="4" width="7.989999771118164" style="11" hidden="0" customWidth="1"/>
    <x:col min="5" max="5" width="37.9900016784668" style="11" hidden="0" customWidth="1"/>
    <x:col min="6" max="6" width="48.25" style="11" hidden="0" customWidth="1"/>
    <x:col min="7" max="257" width="8.989999771118164" style="11" hidden="0" customWidth="0"/>
  </x:cols>
  <x:sheetData>
    <x:row r="2" ht="75.75" hidden="0" customHeight="1">
      <x:c r="A2" s="12"/>
      <x:c r="B2" s="13" t="s">
        <x:v>45</x:v>
      </x:c>
      <x:c r="C2" s="13"/>
      <x:c r="D2" s="13"/>
      <x:c r="E2" s="13"/>
      <x:c r="F2" s="13"/>
    </x:row>
    <x:row r="3" ht="12.75" hidden="0">
      <x:c r="A3" s="14"/>
      <x:c r="B3" s="15"/>
      <x:c r="E3" s="16"/>
    </x:row>
    <x:row r="4" ht="14.25" hidden="0" customHeight="1">
      <x:c r="A4" s="17" t="s">
        <x:v>46</x:v>
      </x:c>
      <x:c r="B4" s="18" t="str">
        <x:v>Customer Feedback Management System (CFMS)</x:v>
      </x:c>
      <x:c r="C4" s="18"/>
      <x:c r="D4" s="18"/>
      <x:c r="E4" s="17" t="s">
        <x:v>47</x:v>
      </x:c>
      <x:c r="F4" s="19" t="str">
        <x:v>Tuan Như</x:v>
      </x:c>
    </x:row>
    <x:row r="5" ht="14.25" hidden="0" customHeight="1">
      <x:c r="A5" s="17" t="s">
        <x:v>48</x:v>
      </x:c>
      <x:c r="B5" s="18" t="str">
        <x:v>CFMS-SWT301</x:v>
      </x:c>
      <x:c r="C5" s="18"/>
      <x:c r="D5" s="18"/>
      <x:c r="E5" s="17" t="s">
        <x:v>49</x:v>
      </x:c>
      <x:c r="F5" s="19" t="str">
        <x:v>Lecturer / Reviewer</x:v>
      </x:c>
    </x:row>
    <x:row r="6" ht="15.75" hidden="0" customHeight="1">
      <x:c r="A6" s="20" t="s">
        <x:v>50</x:v>
      </x:c>
      <x:c r="B6" s="21" t="str">
        <x:f aca="0"/>
        <x:v>CFMS-SWT301_UnitTestCase_v1.0</x:v>
      </x:c>
      <x:c r="C6" s="21"/>
      <x:c r="D6" s="21"/>
      <x:c r="E6" s="17" t="s">
        <x:v>51</x:v>
      </x:c>
      <x:c r="F6" s="574" t="n">
        <x:v>46225</x:v>
      </x:c>
    </x:row>
    <x:row r="7" ht="13.5" hidden="0" customHeight="1">
      <x:c r="A7" s="20"/>
      <x:c r="B7" s="21"/>
      <x:c r="C7" s="21"/>
      <x:c r="D7" s="21"/>
      <x:c r="E7" s="17" t="s">
        <x:v>52</x:v>
      </x:c>
      <x:c r="F7" s="23" t="str">
        <x:v>v1.0</x:v>
      </x:c>
    </x:row>
    <x:row r="8" ht="12.75" hidden="0">
      <x:c r="A8" s="24"/>
      <x:c r="B8" s="25"/>
      <x:c r="C8" s="26"/>
      <x:c r="D8" s="26"/>
      <x:c r="E8" s="27"/>
      <x:c r="F8" s="28"/>
    </x:row>
    <x:row r="9" ht="12.75" hidden="0">
      <x:c r="A9" s="29"/>
      <x:c r="B9" s="30"/>
      <x:c r="C9" s="30"/>
      <x:c r="D9" s="30"/>
      <x:c r="E9" s="30"/>
    </x:row>
    <x:row r="10" ht="12.75" hidden="0">
      <x:c r="A10" s="31" t="s">
        <x:v>53</x:v>
      </x:c>
    </x:row>
    <x:row r="11" ht="12.75" hidden="0">
      <x:c r="A11" s="32" t="s">
        <x:v>54</x:v>
      </x:c>
      <x:c r="B11" s="33" t="s">
        <x:v>52</x:v>
      </x:c>
      <x:c r="C11" s="33" t="s">
        <x:v>55</x:v>
      </x:c>
      <x:c r="D11" s="33" t="s">
        <x:v>56</x:v>
      </x:c>
      <x:c r="E11" s="33" t="s">
        <x:v>57</x:v>
      </x:c>
      <x:c r="F11" s="34" t="s">
        <x:v>58</x:v>
      </x:c>
    </x:row>
    <x:row r="12" ht="26.25" hidden="0" customHeight="1">
      <x:c r="A12" s="576" t="n">
        <x:v>46225</x:v>
      </x:c>
      <x:c r="B12" s="36" t="str">
        <x:v>v1.0</x:v>
      </x:c>
      <x:c r="C12" s="37" t="str">
        <x:v>Initial Lab 2 unit-test design</x:v>
      </x:c>
      <x:c r="D12" s="37" t="str">
        <x:v>A</x:v>
      </x:c>
      <x:c r="E12" s="38" t="str">
        <x:v>Added DayInMonth, CheckDate, and current CFMS FeedbackStatusRules unit test cases.</x:v>
      </x:c>
      <x:c r="F12" s="39" t="str">
        <x:v>Lab2-WritingUnitTestCase(2).docx / CFMS V1 requirements</x:v>
      </x:c>
    </x:row>
    <x:row r="13" ht="21.75" hidden="0" customHeight="1">
      <x:c r="A13" s="40"/>
      <x:c r="B13" s="36"/>
      <x:c r="C13" s="37"/>
      <x:c r="D13" s="37"/>
      <x:c r="E13" s="37"/>
      <x:c r="F13" s="41"/>
    </x:row>
    <x:row r="14" ht="19.5" hidden="0" customHeight="1">
      <x:c r="A14" s="40"/>
      <x:c r="B14" s="36"/>
      <x:c r="C14" s="37"/>
      <x:c r="D14" s="37"/>
      <x:c r="E14" s="37"/>
      <x:c r="F14" s="41"/>
    </x:row>
    <x:row r="15" ht="21.75" hidden="0" customHeight="1">
      <x:c r="A15" s="40"/>
      <x:c r="B15" s="36"/>
      <x:c r="C15" s="37"/>
      <x:c r="D15" s="37"/>
      <x:c r="E15" s="37"/>
      <x:c r="F15" s="41"/>
    </x:row>
    <x:row r="16" ht="19.5" hidden="0" customHeight="1">
      <x:c r="A16" s="40"/>
      <x:c r="B16" s="36"/>
      <x:c r="C16" s="37"/>
      <x:c r="D16" s="37"/>
      <x:c r="E16" s="37"/>
      <x:c r="F16" s="41"/>
    </x:row>
    <x:row r="17" ht="21.75" hidden="0" customHeight="1">
      <x:c r="A17" s="40"/>
      <x:c r="B17" s="36"/>
      <x:c r="C17" s="37"/>
      <x:c r="D17" s="37"/>
      <x:c r="E17" s="37"/>
      <x:c r="F17" s="41"/>
    </x:row>
    <x:row r="18" ht="19.5" hidden="0" customHeight="1">
      <x:c r="A18" s="42"/>
      <x:c r="B18" s="43"/>
      <x:c r="C18" s="44"/>
      <x:c r="D18" s="44"/>
      <x:c r="E18" s="44"/>
      <x:c r="F18" s="45"/>
    </x:row>
  </x:sheetData>
  <x:mergeCells>
    <x:mergeCell ref="B2:F2"/>
    <x:mergeCell ref="B4:D4"/>
    <x:mergeCell ref="B5:D5"/>
    <x:mergeCell ref="A6:A7"/>
    <x:mergeCell ref="B6:D7"/>
  </x:mergeCells>
  <x:pageMargins left="0.7" right="0.7" top="0.75" bottom="0.75" header="0.3" footer="0.3"/>
  <x:drawing xmlns:r="http://schemas.openxmlformats.org/officeDocument/2006/relationships" r:id="R1fe86895827444d2"/>
  <x:legacyDrawing xmlns:r="http://schemas.openxmlformats.org/officeDocument/2006/relationships" r:id="Rde2ec83d69334ed6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9921875" defaultRowHeight="12.75"/>
  <x:cols>
    <x:col min="1" max="1" width="7.119999885559082" style="46" hidden="0" customWidth="1"/>
    <x:col min="2" max="2" width="14.739999771118164" style="46" hidden="0" customWidth="1"/>
    <x:col min="3" max="3" width="9.869999885559082" style="46" hidden="0" customWidth="1"/>
    <x:col min="4" max="4" width="12.359999656677246" style="47" hidden="0" customWidth="1"/>
    <x:col min="5" max="5" width="20.989999771118164" style="48" hidden="0" customWidth="1"/>
    <x:col min="6" max="6" width="12.359999656677246" style="47" hidden="0" customWidth="1"/>
    <x:col min="7" max="7" width="22.489999771118164" style="47" hidden="0" customWidth="1"/>
    <x:col min="8" max="8" width="33.75" style="47" hidden="0" customWidth="1"/>
    <x:col min="9" max="257" width="8.989999771118164" style="16" hidden="0" customWidth="0"/>
  </x:cols>
  <x:sheetData>
    <x:row r="2" ht="25.5" hidden="0">
      <x:c r="A2" s="49"/>
      <x:c r="B2" s="49"/>
      <x:c r="C2" s="49"/>
      <x:c r="E2" s="50" t="s">
        <x:v>59</x:v>
      </x:c>
      <x:c r="F2" s="50"/>
      <x:c r="G2" s="51"/>
    </x:row>
    <x:row r="3" ht="13.5" hidden="0" customHeight="1">
      <x:c r="A3" s="49"/>
      <x:c r="B3" s="49"/>
      <x:c r="C3" s="49"/>
      <x:c r="F3" s="52"/>
      <x:c r="G3" s="52"/>
    </x:row>
    <x:row r="4" ht="14.25" hidden="0" customHeight="1">
      <x:c r="A4" s="53" t="s">
        <x:v>46</x:v>
      </x:c>
      <x:c r="B4" s="53"/>
      <x:c r="C4" s="53"/>
      <x:c r="D4" s="53"/>
      <x:c r="E4" s="54" t="str">
        <x:f aca="0"/>
        <x:v>Customer Feedback Management System (CFMS)</x:v>
      </x:c>
      <x:c r="F4" s="54"/>
      <x:c r="G4" s="54"/>
      <x:c r="H4" s="54"/>
    </x:row>
    <x:row r="5" ht="14.25" hidden="0" customHeight="1">
      <x:c r="A5" s="53" t="s">
        <x:v>48</x:v>
      </x:c>
      <x:c r="B5" s="53"/>
      <x:c r="C5" s="53"/>
      <x:c r="D5" s="53"/>
      <x:c r="E5" s="54" t="str">
        <x:f aca="0"/>
        <x:v>CFMS-SWT301</x:v>
      </x:c>
      <x:c r="F5" s="54"/>
      <x:c r="G5" s="54"/>
      <x:c r="H5" s="54"/>
    </x:row>
    <x:row r="6" ht="14.25" hidden="0" customHeight="1">
      <x:c r="A6" s="55" t="s">
        <x:v>60</x:v>
      </x:c>
      <x:c r="B6" s="55"/>
      <x:c r="C6" s="55"/>
      <x:c r="D6" s="55"/>
      <x:c r="E6" s="56" t="n">
        <x:v>100</x:v>
      </x:c>
      <x:c r="F6" s="57"/>
      <x:c r="G6" s="57"/>
      <x:c r="H6" s="58"/>
    </x:row>
    <x:row r="7" ht="12.75" hidden="0" customHeight="1">
      <x:c r="A7" s="59" t="s">
        <x:v>61</x:v>
      </x:c>
      <x:c r="B7" s="59"/>
      <x:c r="C7" s="59"/>
      <x:c r="D7" s="59"/>
      <x:c r="E7" s="578" t="str">
        <x:v>1. OS: Windows 11 / lab computer
2. IDE: Visual Studio 2022 / VS Code
3. Runtime: .NET 8
4. Unit-test automation: NUnit in Lab 3
5. No browser/database is required for DayInMonth, CheckDate, or FeedbackStatusRules logic tests</x:v>
      </x:c>
      <x:c r="F7" s="60"/>
      <x:c r="G7" s="60"/>
      <x:c r="H7" s="60"/>
    </x:row>
    <x:row r="8" ht="12.75" hidden="0">
      <x:c r="A8" s="61"/>
      <x:c r="B8" s="61"/>
      <x:c r="C8" s="61"/>
      <x:c r="D8" s="62"/>
      <x:c r="E8" s="63"/>
      <x:c r="F8" s="62"/>
      <x:c r="G8" s="62"/>
      <x:c r="H8" s="62"/>
    </x:row>
    <x:row r="9" ht="12.75" hidden="0">
      <x:c r="A9" s="64"/>
      <x:c r="B9" s="64"/>
      <x:c r="C9" s="64"/>
      <x:c r="D9" s="65"/>
      <x:c r="E9" s="66"/>
      <x:c r="F9" s="65"/>
      <x:c r="G9" s="65"/>
      <x:c r="H9" s="65"/>
    </x:row>
    <x:row r="10" ht="24" hidden="0" customHeight="1">
      <x:c r="A10" s="67" t="s">
        <x:v>62</x:v>
      </x:c>
      <x:c r="B10" s="68" t="s">
        <x:v>63</x:v>
      </x:c>
      <x:c r="C10" s="69" t="s">
        <x:v>64</x:v>
      </x:c>
      <x:c r="D10" s="70" t="s">
        <x:v>65</x:v>
      </x:c>
      <x:c r="E10" s="71" t="s">
        <x:v>66</x:v>
      </x:c>
      <x:c r="F10" s="70" t="s">
        <x:v>67</x:v>
      </x:c>
      <x:c r="G10" s="72" t="s">
        <x:v>68</x:v>
      </x:c>
      <x:c r="H10" s="73" t="s">
        <x:v>69</x:v>
      </x:c>
    </x:row>
    <x:row r="11" ht="12.75" hidden="0">
      <x:c r="A11" s="74" t="n">
        <x:v>1</x:v>
      </x:c>
      <x:c r="B11" s="75" t="str">
        <x:v>Date Time Checking</x:v>
      </x:c>
      <x:c r="C11" s="75" t="str">
        <x:v>DateTimeChecker</x:v>
      </x:c>
      <x:c r="D11" s="76" t="str">
        <x:v>DayInMonth</x:v>
      </x:c>
      <x:c r="E11" s="77" t="str">
        <x:v>DAY_IN_MONTH</x:v>
      </x:c>
      <x:c r="F11" s="78" t="str">
        <x:v>Function1</x:v>
      </x:c>
      <x:c r="G11" s="579" t="str">
        <x:v>Returns the correct number of days in a month, including Gregorian leap-year handling and invalid month values.</x:v>
      </x:c>
      <x:c r="H11" s="580" t="str">
        <x:v>Reference date-time algorithm is available and callable with Year and Month.</x:v>
      </x:c>
    </x:row>
    <x:row r="12" ht="12.75" hidden="0">
      <x:c r="A12" s="74" t="n">
        <x:v>2</x:v>
      </x:c>
      <x:c r="B12" s="75" t="str">
        <x:v>Date Time Checking</x:v>
      </x:c>
      <x:c r="C12" s="75" t="str">
        <x:v>DateTimeChecker</x:v>
      </x:c>
      <x:c r="D12" s="76" t="str">
        <x:v>CheckDate</x:v>
      </x:c>
      <x:c r="E12" s="77" t="str">
        <x:v>CHECK_DATE</x:v>
      </x:c>
      <x:c r="F12" s="78" t="str">
        <x:v>Function2</x:v>
      </x:c>
      <x:c r="G12" s="579" t="str">
        <x:v>Returns True only when Year, Month and Day form a valid Gregorian calendar date.</x:v>
      </x:c>
      <x:c r="H12" s="580" t="str">
        <x:v>DayInMonth is correct and CheckDate is callable with Year, Month and Day.</x:v>
      </x:c>
    </x:row>
    <x:row r="13" ht="12.75" hidden="0">
      <x:c r="A13" s="74" t="n">
        <x:v>3</x:v>
      </x:c>
      <x:c r="B13" s="75" t="str">
        <x:v>Feedback Workflow</x:v>
      </x:c>
      <x:c r="C13" s="75" t="str">
        <x:v>FeedbackStatusRules</x:v>
      </x:c>
      <x:c r="D13" s="76" t="str">
        <x:v>IsTransitionAllowed / GetAllowedTransitions / RequiresReason</x:v>
      </x:c>
      <x:c r="E13" s="77" t="str">
        <x:v>STATUS_RULES</x:v>
      </x:c>
      <x:c r="F13" s="78" t="str">
        <x:v>Function3</x:v>
      </x:c>
      <x:c r="G13" s="579" t="str">
        <x:v>Validates V1 feedback status transitions, terminal-state behavior, and whether closing feedback requires a reason.</x:v>
      </x:c>
      <x:c r="H13" s="580" t="str">
        <x:v>CFMS.Domain.Enums.FeedbackStatus and CFMS.Domain.Rules.FeedbackStatusRules are available.</x:v>
      </x:c>
    </x:row>
    <x:row r="14" ht="12.75" hidden="0">
      <x:c r="A14" s="74"/>
      <x:c r="B14" s="75"/>
      <x:c r="C14" s="75"/>
      <x:c r="D14" s="76"/>
      <x:c r="E14" s="77"/>
      <x:c r="F14" s="78"/>
      <x:c r="G14" s="78"/>
      <x:c r="H14" s="79"/>
    </x:row>
    <x:row r="15" ht="12.75" hidden="0">
      <x:c r="A15" s="74"/>
      <x:c r="B15" s="75"/>
      <x:c r="C15" s="75"/>
      <x:c r="D15" s="76"/>
      <x:c r="E15" s="77"/>
      <x:c r="F15" s="78"/>
      <x:c r="G15" s="78"/>
      <x:c r="H15" s="79"/>
    </x:row>
    <x:row r="16" ht="12.75" hidden="0">
      <x:c r="A16" s="74"/>
      <x:c r="B16" s="75"/>
      <x:c r="C16" s="75"/>
      <x:c r="D16" s="76"/>
      <x:c r="E16" s="77"/>
      <x:c r="F16" s="80"/>
      <x:c r="G16" s="80"/>
      <x:c r="H16" s="79"/>
    </x:row>
    <x:row r="17" ht="12.75" hidden="0">
      <x:c r="A17" s="74"/>
      <x:c r="B17" s="75"/>
      <x:c r="C17" s="75"/>
      <x:c r="D17" s="76"/>
      <x:c r="E17" s="77"/>
      <x:c r="F17" s="80"/>
      <x:c r="G17" s="80"/>
      <x:c r="H17" s="79"/>
    </x:row>
    <x:row r="18" ht="12.75" hidden="0">
      <x:c r="A18" s="74"/>
      <x:c r="B18" s="75"/>
      <x:c r="C18" s="75"/>
      <x:c r="D18" s="76"/>
      <x:c r="E18" s="77"/>
      <x:c r="F18" s="80"/>
      <x:c r="G18" s="80"/>
      <x:c r="H18" s="79"/>
    </x:row>
    <x:row r="19" ht="12.75" hidden="0">
      <x:c r="A19" s="74"/>
      <x:c r="B19" s="75"/>
      <x:c r="C19" s="75"/>
      <x:c r="D19" s="76"/>
      <x:c r="E19" s="77"/>
      <x:c r="F19" s="80"/>
      <x:c r="G19" s="80"/>
      <x:c r="H19" s="79"/>
    </x:row>
    <x:row r="20" ht="12.75" hidden="0">
      <x:c r="A20" s="74"/>
      <x:c r="B20" s="75"/>
      <x:c r="C20" s="75"/>
      <x:c r="D20" s="76"/>
      <x:c r="E20" s="77"/>
      <x:c r="F20" s="80"/>
      <x:c r="G20" s="80"/>
      <x:c r="H20" s="79"/>
    </x:row>
    <x:row r="21" ht="12.75" hidden="0">
      <x:c r="A21" s="74"/>
      <x:c r="B21" s="75"/>
      <x:c r="C21" s="75"/>
      <x:c r="D21" s="76"/>
      <x:c r="E21" s="77"/>
      <x:c r="F21" s="80"/>
      <x:c r="G21" s="80"/>
      <x:c r="H21" s="79"/>
    </x:row>
    <x:row r="22" ht="12.75" hidden="0">
      <x:c r="A22" s="74"/>
      <x:c r="B22" s="75"/>
      <x:c r="C22" s="75"/>
      <x:c r="D22" s="76"/>
      <x:c r="E22" s="77"/>
      <x:c r="F22" s="80"/>
      <x:c r="G22" s="80"/>
      <x:c r="H22" s="79"/>
    </x:row>
    <x:row r="23" ht="12.75" hidden="0">
      <x:c r="A23" s="81"/>
      <x:c r="B23" s="82"/>
      <x:c r="C23" s="82"/>
      <x:c r="D23" s="83"/>
      <x:c r="E23" s="84"/>
      <x:c r="F23" s="85"/>
      <x:c r="G23" s="85"/>
      <x:c r="H23" s="86"/>
    </x:row>
  </x:sheetData>
  <x:mergeCells>
    <x:mergeCell ref="A4:D4"/>
    <x:mergeCell ref="E4:H4"/>
    <x:mergeCell ref="A5:D5"/>
    <x:mergeCell ref="E5:H5"/>
    <x:mergeCell ref="A6:D6"/>
    <x:mergeCell ref="A7:D7"/>
    <x:mergeCell ref="E7:H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9921875" defaultRowHeight="12.75"/>
  <x:cols>
    <x:col min="1" max="1" width="15.369999885559082" style="16" hidden="0" customWidth="1"/>
    <x:col min="2" max="2" width="26.6200008392334" style="16" hidden="0" customWidth="1"/>
    <x:col min="3" max="3" width="12.119999885559082" style="16" hidden="0" customWidth="1"/>
    <x:col min="4" max="4" width="9.619999885559082" style="16" hidden="0" customWidth="1"/>
    <x:col min="5" max="5" width="9.75" style="16" hidden="0" customWidth="1"/>
    <x:col min="6" max="8" width="5.25" style="16" hidden="0" customWidth="1"/>
    <x:col min="9" max="9" width="20.989999771118164" style="16" hidden="0" customWidth="1"/>
    <x:col min="10" max="10" width="33.119998931884766" style="16" hidden="0" customWidth="1"/>
    <x:col min="11" max="257" width="8.989999771118164" style="16" hidden="0" customWidth="0"/>
  </x:cols>
  <x:sheetData>
    <x:row r="2" ht="25.5" hidden="0" customHeight="1">
      <x:c r="A2" s="87" t="s">
        <x:v>70</x:v>
      </x:c>
      <x:c r="B2" s="87"/>
      <x:c r="C2" s="87"/>
      <x:c r="D2" s="87"/>
      <x:c r="E2" s="87"/>
      <x:c r="F2" s="87"/>
      <x:c r="G2" s="87"/>
      <x:c r="H2" s="87"/>
      <x:c r="I2" s="87"/>
    </x:row>
    <x:row r="3" ht="14.25" hidden="0" customHeight="1">
      <x:c r="A3" s="88"/>
      <x:c r="B3" s="89"/>
      <x:c r="C3" s="89"/>
      <x:c r="D3" s="89"/>
      <x:c r="E3" s="89"/>
      <x:c r="F3" s="89"/>
      <x:c r="G3" s="89"/>
      <x:c r="H3" s="89"/>
      <x:c r="I3" s="90"/>
    </x:row>
    <x:row r="4" ht="13.5" hidden="0" customHeight="1">
      <x:c r="A4" s="20" t="s">
        <x:v>46</x:v>
      </x:c>
      <x:c r="B4" s="54" t="str">
        <x:f aca="0"/>
        <x:v>Customer Feedback Management System (CFMS)</x:v>
      </x:c>
      <x:c r="C4" s="54"/>
      <x:c r="D4" s="17" t="s">
        <x:v>47</x:v>
      </x:c>
      <x:c r="E4" s="17" t="str">
        <x:v>Tuan Như</x:v>
      </x:c>
      <x:c r="F4" s="91"/>
      <x:c r="G4" s="91"/>
      <x:c r="H4" s="91"/>
      <x:c r="I4" s="91"/>
    </x:row>
    <x:row r="5" ht="13.5" hidden="0" customHeight="1">
      <x:c r="A5" s="20" t="s">
        <x:v>48</x:v>
      </x:c>
      <x:c r="B5" s="54" t="str">
        <x:f aca="0"/>
        <x:v>CFMS-SWT301</x:v>
      </x:c>
      <x:c r="C5" s="54"/>
      <x:c r="D5" s="17" t="s">
        <x:v>49</x:v>
      </x:c>
      <x:c r="E5" s="17" t="str">
        <x:v>Lecturer / Reviewer</x:v>
      </x:c>
      <x:c r="F5" s="91"/>
      <x:c r="G5" s="91"/>
      <x:c r="H5" s="91"/>
      <x:c r="I5" s="91"/>
    </x:row>
    <x:row r="6" ht="12.75" hidden="0" customHeight="1">
      <x:c r="A6" s="92" t="s">
        <x:v>50</x:v>
      </x:c>
      <x:c r="B6" s="54" t="str">
        <x:f aca="0"/>
        <x:v>CFMS-SWT301_TestReport_v1.0</x:v>
      </x:c>
      <x:c r="C6" s="54"/>
      <x:c r="D6" s="17" t="s">
        <x:v>51</x:v>
      </x:c>
      <x:c r="E6" s="17"/>
      <x:c r="F6" s="652" t="n">
        <x:v>46225</x:v>
      </x:c>
      <x:c r="G6" s="93"/>
      <x:c r="H6" s="93"/>
      <x:c r="I6" s="93"/>
    </x:row>
    <x:row r="7" ht="15.75" hidden="0" customHeight="1">
      <x:c r="A7" s="92" t="s">
        <x:v>71</x:v>
      </x:c>
      <x:c r="B7" s="94" t="str">
        <x:v>Lab 2 unit-test design includes the required DayInMonth and CheckDate algorithms plus one current CFMS business-rule group (FeedbackStatusRules). Execution results remain pending.</x:v>
      </x:c>
      <x:c r="C7" s="94"/>
      <x:c r="D7" s="94"/>
      <x:c r="E7" s="94"/>
      <x:c r="F7" s="94"/>
      <x:c r="G7" s="94"/>
      <x:c r="H7" s="94"/>
      <x:c r="I7" s="94"/>
    </x:row>
    <x:row r="8" ht="14.25" hidden="0" customHeight="1">
      <x:c r="A8" s="95"/>
      <x:c r="B8" s="96"/>
      <x:c r="C8" s="89"/>
      <x:c r="D8" s="89"/>
      <x:c r="E8" s="89"/>
      <x:c r="F8" s="89"/>
      <x:c r="G8" s="89"/>
      <x:c r="H8" s="89"/>
      <x:c r="I8" s="90"/>
    </x:row>
    <x:row r="9" ht="12.75" hidden="0">
      <x:c r="A9" s="95"/>
      <x:c r="B9" s="96"/>
      <x:c r="C9" s="89"/>
      <x:c r="D9" s="89"/>
      <x:c r="E9" s="89"/>
      <x:c r="F9" s="89"/>
      <x:c r="G9" s="89"/>
      <x:c r="H9" s="89"/>
      <x:c r="I9" s="90"/>
    </x:row>
    <x:row r="10" ht="12.75" hidden="0">
      <x:c r="A10" s="97"/>
      <x:c r="B10" s="97"/>
      <x:c r="C10" s="97"/>
      <x:c r="D10" s="97"/>
      <x:c r="E10" s="97"/>
      <x:c r="F10" s="97"/>
      <x:c r="G10" s="97"/>
      <x:c r="H10" s="97"/>
      <x:c r="I10" s="97"/>
    </x:row>
    <x:row r="11" ht="14.25" hidden="0" customHeight="1">
      <x:c r="A11" s="98" t="s">
        <x:v>62</x:v>
      </x:c>
      <x:c r="B11" s="99" t="s">
        <x:v>72</x:v>
      </x:c>
      <x:c r="C11" s="100" t="s">
        <x:v>73</x:v>
      </x:c>
      <x:c r="D11" s="99" t="s">
        <x:v>74</x:v>
      </x:c>
      <x:c r="E11" s="101" t="s">
        <x:v>75</x:v>
      </x:c>
      <x:c r="F11" s="101" t="s">
        <x:v>76</x:v>
      </x:c>
      <x:c r="G11" s="101" t="s">
        <x:v>77</x:v>
      </x:c>
      <x:c r="H11" s="101" t="s">
        <x:v>78</x:v>
      </x:c>
      <x:c r="I11" s="102" t="s">
        <x:v>79</x:v>
      </x:c>
    </x:row>
    <x:row r="12" ht="12.75" hidden="0">
      <x:c r="A12" s="103" t="n">
        <x:v>1</x:v>
      </x:c>
      <x:c r="B12" s="104" t="str">
        <x:v>DAY_IN_MONTH</x:v>
      </x:c>
      <x:c r="C12" s="105" t="n">
        <x:f aca="0">Function1!A7</x:f>
        <x:v>0</x:v>
      </x:c>
      <x:c r="D12" s="105" t="n">
        <x:f aca="0">Function1!C7</x:f>
        <x:v>0</x:v>
      </x:c>
      <x:c r="E12" s="105" t="n">
        <x:f aca="0">Function1!F7</x:f>
        <x:v>10</x:v>
      </x:c>
      <x:c r="F12" s="106" t="n">
        <x:f aca="0">Function1!L7</x:f>
        <x:v>5</x:v>
      </x:c>
      <x:c r="G12" s="105" t="n">
        <x:f aca="0">Function1!M7</x:f>
        <x:v>2</x:v>
      </x:c>
      <x:c r="H12" s="105" t="n">
        <x:f aca="0">Function1!N7</x:f>
        <x:v>3</x:v>
      </x:c>
      <x:c r="I12" s="105" t="n">
        <x:f aca="0">Function1!O7</x:f>
        <x:v>10</x:v>
      </x:c>
    </x:row>
    <x:row r="13" ht="12.75" hidden="0">
      <x:c r="A13" s="103" t="n">
        <x:v>2</x:v>
      </x:c>
      <x:c r="B13" s="104" t="str">
        <x:v>CHECK_DATE</x:v>
      </x:c>
      <x:c r="C13" s="105" t="n">
        <x:f aca="0">Function2!A7</x:f>
        <x:v>0</x:v>
      </x:c>
      <x:c r="D13" s="105" t="n">
        <x:f aca="0">Function2!C7</x:f>
        <x:v>0</x:v>
      </x:c>
      <x:c r="E13" s="105" t="n">
        <x:f aca="0">Function2!F7</x:f>
        <x:v>12</x:v>
      </x:c>
      <x:c r="F13" s="106" t="n">
        <x:f aca="0">Function2!L7</x:f>
        <x:v>2</x:v>
      </x:c>
      <x:c r="G13" s="105" t="n">
        <x:f aca="0">Function2!M7</x:f>
        <x:v>3</x:v>
      </x:c>
      <x:c r="H13" s="105" t="n">
        <x:f aca="0">Function2!N7</x:f>
        <x:v>7</x:v>
      </x:c>
      <x:c r="I13" s="105" t="n">
        <x:f aca="0">Function2!O7</x:f>
        <x:v>12</x:v>
      </x:c>
    </x:row>
    <x:row r="14" ht="12.75" hidden="0">
      <x:c r="A14" s="103" t="n">
        <x:v>3</x:v>
      </x:c>
      <x:c r="B14" s="104" t="str">
        <x:v>STATUS_RULES</x:v>
      </x:c>
      <x:c r="C14" s="105" t="n">
        <x:f aca="0">Function3!A7</x:f>
        <x:v>0</x:v>
      </x:c>
      <x:c r="D14" s="105" t="n">
        <x:f aca="0">Function3!C7</x:f>
        <x:v>0</x:v>
      </x:c>
      <x:c r="E14" s="105" t="n">
        <x:f aca="0">Function3!F7</x:f>
        <x:v>15</x:v>
      </x:c>
      <x:c r="F14" s="106" t="n">
        <x:f aca="0">Function3!L7</x:f>
        <x:v>5</x:v>
      </x:c>
      <x:c r="G14" s="105" t="n">
        <x:f aca="0">Function3!M7</x:f>
        <x:v>6</x:v>
      </x:c>
      <x:c r="H14" s="105" t="n">
        <x:f aca="0">Function3!N7</x:f>
        <x:v>4</x:v>
      </x:c>
      <x:c r="I14" s="105" t="n">
        <x:f aca="0">Function3!O7</x:f>
        <x:v>15</x:v>
      </x:c>
    </x:row>
    <x:row r="15" ht="14.25" hidden="0">
      <x:c r="A15" s="103"/>
      <x:c r="B15" s="107"/>
      <x:c r="C15" s="105"/>
      <x:c r="D15" s="105"/>
      <x:c r="E15" s="105"/>
      <x:c r="F15" s="106"/>
      <x:c r="G15" s="105"/>
      <x:c r="H15" s="105"/>
      <x:c r="I15" s="105"/>
    </x:row>
    <x:row r="16" ht="14.25" hidden="0">
      <x:c r="A16" s="103"/>
      <x:c r="B16" s="107"/>
      <x:c r="C16" s="105"/>
      <x:c r="D16" s="105"/>
      <x:c r="E16" s="105"/>
      <x:c r="F16" s="106"/>
      <x:c r="G16" s="105"/>
      <x:c r="H16" s="105"/>
      <x:c r="I16" s="105"/>
    </x:row>
    <x:row r="17" ht="14.25" hidden="0">
      <x:c r="A17" s="108"/>
      <x:c r="B17" s="109" t="str">
        <x:v>Sub total</x:v>
      </x:c>
      <x:c r="C17" s="110" t="n">
        <x:f aca="0">SUM(C12:C14)</x:f>
        <x:v>0</x:v>
      </x:c>
      <x:c r="D17" s="110" t="n">
        <x:f aca="0">SUM(D12:D14)</x:f>
        <x:v>0</x:v>
      </x:c>
      <x:c r="E17" s="110" t="n">
        <x:f aca="0">SUM(E12:E14)</x:f>
        <x:v>37</x:v>
      </x:c>
      <x:c r="F17" s="110" t="n">
        <x:f aca="0">SUM(F12:F14)</x:f>
        <x:v>12</x:v>
      </x:c>
      <x:c r="G17" s="110" t="n">
        <x:f aca="0">SUM(G12:G14)</x:f>
        <x:v>11</x:v>
      </x:c>
      <x:c r="H17" s="110" t="n">
        <x:f aca="0">SUM(H12:H14)</x:f>
        <x:v>14</x:v>
      </x:c>
      <x:c r="I17" s="110" t="n">
        <x:f aca="0">SUM(I12:I14)</x:f>
        <x:v>37</x:v>
      </x:c>
    </x:row>
    <x:row r="18" ht="12.75" hidden="0">
      <x:c r="A18" s="111"/>
      <x:c r="B18" s="97"/>
      <x:c r="C18" s="112"/>
      <x:c r="D18" s="113"/>
      <x:c r="E18" s="113"/>
      <x:c r="F18" s="113"/>
      <x:c r="G18" s="113"/>
      <x:c r="H18" s="113"/>
      <x:c r="I18" s="113"/>
    </x:row>
    <x:row r="19" ht="12.75" hidden="0">
      <x:c r="A19" s="97"/>
      <x:c r="B19" s="114" t="str">
        <x:v>Test coverage</x:v>
      </x:c>
      <x:c r="C19" s="97"/>
      <x:c r="D19" s="115" t="n">
        <x:f aca="0">IF(I17=0,0,(C17+D17)/I17*100)</x:f>
        <x:v>0</x:v>
      </x:c>
      <x:c r="E19" s="97" t="str">
        <x:v>%</x:v>
      </x:c>
      <x:c r="F19" s="97"/>
      <x:c r="G19" s="97"/>
      <x:c r="H19" s="97"/>
      <x:c r="I19" s="116"/>
    </x:row>
    <x:row r="20" ht="12.75" hidden="0">
      <x:c r="A20" s="97"/>
      <x:c r="B20" s="114" t="str">
        <x:v>Test successful coverage</x:v>
      </x:c>
      <x:c r="C20" s="97"/>
      <x:c r="D20" s="115" t="n">
        <x:f aca="0">IF(I17=0,0,C17/I17*100)</x:f>
        <x:v>0</x:v>
      </x:c>
      <x:c r="E20" s="97" t="str">
        <x:v>%</x:v>
      </x:c>
      <x:c r="F20" s="97"/>
      <x:c r="G20" s="97"/>
      <x:c r="H20" s="97"/>
      <x:c r="I20" s="116"/>
    </x:row>
    <x:row r="21" ht="12.75" hidden="0">
      <x:c r="A21"/>
      <x:c r="B21" s="114" t="str">
        <x:v>Normal case</x:v>
      </x:c>
      <x:c r="C21" s="97"/>
      <x:c r="D21" s="115" t="n">
        <x:f aca="0">IF(I17=0,0,F17/I17*100)</x:f>
        <x:v>32.432432432432435</x:v>
      </x:c>
      <x:c r="E21" s="97" t="str">
        <x:v>%</x:v>
      </x:c>
      <x:c r="F21"/>
      <x:c r="G21"/>
      <x:c r="H21"/>
      <x:c r="I21"/>
    </x:row>
    <x:row r="22" ht="12.75" hidden="0">
      <x:c r="A22"/>
      <x:c r="B22" s="114" t="str">
        <x:v>Abnormal case</x:v>
      </x:c>
      <x:c r="C22"/>
      <x:c r="D22" s="115" t="n">
        <x:f aca="0">IF(I17=0,0,G17/I17*100)</x:f>
        <x:v>29.72972972972973</x:v>
      </x:c>
      <x:c r="E22" s="97" t="str">
        <x:v>%</x:v>
      </x:c>
      <x:c r="F22"/>
      <x:c r="G22"/>
      <x:c r="H22"/>
      <x:c r="I22"/>
    </x:row>
    <x:row r="23" ht="12.75" hidden="0">
      <x:c r="A23"/>
      <x:c r="B23" s="114" t="str">
        <x:v>Boundary case</x:v>
      </x:c>
      <x:c r="C23"/>
      <x:c r="D23" s="115" t="n">
        <x:f aca="0">IF(I17=0,0,H17/I17*100)</x:f>
        <x:v>37.83783783783784</x:v>
      </x:c>
      <x:c r="E23" s="97" t="str">
        <x:v>%</x:v>
      </x:c>
      <x:c r="F23"/>
      <x:c r="G23"/>
      <x:c r="H23"/>
      <x:c r="I23"/>
    </x:row>
  </x:sheetData>
  <x:mergeCells>
    <x:mergeCell ref="A2:I2"/>
    <x:mergeCell ref="B4:C4"/>
    <x:mergeCell ref="D4:E4"/>
    <x:mergeCell ref="F4:I4"/>
    <x:mergeCell ref="B5:C5"/>
    <x:mergeCell ref="D5:E5"/>
    <x:mergeCell ref="F5:I5"/>
    <x:mergeCell ref="B6:C6"/>
    <x:mergeCell ref="D6:E6"/>
    <x:mergeCell ref="F6:I6"/>
    <x:mergeCell ref="B7:I7"/>
  </x:mergeCells>
  <x:pageMargins left="0.7" right="0.7" top="0.75" bottom="0.75" header="0.3" footer="0.3"/>
  <x:drawing xmlns:r="http://schemas.openxmlformats.org/officeDocument/2006/relationships" r:id="R05a01b7e1ffa4b0c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9921875" defaultRowHeight="13.5"/>
  <x:cols>
    <x:col min="1" max="1" width="8.119999885559082" style="117" hidden="0" customWidth="1"/>
    <x:col min="2" max="2" width="13.359999656677246" style="118" hidden="0" customWidth="1"/>
    <x:col min="3" max="3" width="10.739999771118164" style="117" hidden="0" customWidth="1"/>
    <x:col min="4" max="4" width="11.369999885559082" style="119" hidden="0" customWidth="1"/>
    <x:col min="5" max="5" width="1.75" style="117" hidden="1" customWidth="1"/>
    <x:col min="6" max="21" width="2.869999885559082" style="117" hidden="0" customWidth="1"/>
    <x:col min="22" max="257" width="8.989999771118164" style="117" hidden="0" customWidth="0"/>
  </x:cols>
  <x:sheetData>
    <x:row r="1" ht="13.5" hidden="0" customHeight="1">
      <x:c r="A1" s="120"/>
      <x:c r="B1" s="121"/>
    </x:row>
    <x:row r="2" ht="13.5" hidden="0" customHeight="1">
      <x:c r="A2" s="122" t="s">
        <x:v>80</x:v>
      </x:c>
      <x:c r="B2" s="122"/>
      <x:c r="C2" s="123" t="str">
        <x:f aca="0"/>
        <x:v>DAY_IN_MONTH</x:v>
      </x:c>
      <x:c r="D2" s="123"/>
      <x:c r="E2" s="123"/>
      <x:c r="F2" s="124" t="str">
        <x:v>Function Name</x:v>
      </x:c>
      <x:c r="G2" s="124"/>
      <x:c r="H2" s="124"/>
      <x:c r="I2" s="124"/>
      <x:c r="J2" s="124"/>
      <x:c r="K2" s="124"/>
      <x:c r="L2" s="125" t="str">
        <x:f aca="0"/>
        <x:v>DayInMonth</x:v>
      </x:c>
      <x:c r="M2" s="125"/>
      <x:c r="N2" s="125"/>
      <x:c r="O2" s="125"/>
      <x:c r="P2" s="125"/>
      <x:c r="Q2" s="125"/>
      <x:c r="R2" s="125"/>
      <x:c r="S2" s="125"/>
      <x:c r="T2" s="125"/>
      <x:c r="V2" s="126"/>
    </x:row>
    <x:row r="3" ht="13.5" hidden="0" customHeight="1">
      <x:c r="A3" s="127" t="s">
        <x:v>81</x:v>
      </x:c>
      <x:c r="B3" s="127"/>
      <x:c r="C3" s="128" t="str">
        <x:v>Tuan Như</x:v>
      </x:c>
      <x:c r="D3" s="128"/>
      <x:c r="E3" s="128"/>
      <x:c r="F3" s="129" t="str">
        <x:v>Executed By</x:v>
      </x:c>
      <x:c r="G3" s="129"/>
      <x:c r="H3" s="129"/>
      <x:c r="I3" s="129"/>
      <x:c r="J3" s="129"/>
      <x:c r="K3" s="129"/>
      <x:c r="L3" s="130" t="str">
        <x:v>Not executed yet</x:v>
      </x:c>
      <x:c r="M3" s="130"/>
      <x:c r="N3" s="130"/>
      <x:c r="O3" s="131"/>
      <x:c r="P3" s="131"/>
      <x:c r="Q3" s="131"/>
      <x:c r="R3" s="131"/>
      <x:c r="S3" s="131"/>
      <x:c r="T3" s="132"/>
    </x:row>
    <x:row r="4" ht="13.5" hidden="0" customHeight="1">
      <x:c r="A4" s="127" t="s">
        <x:v>82</x:v>
      </x:c>
      <x:c r="B4" s="127"/>
      <x:c r="C4" s="133" t="str">
        <x:v>N/A</x:v>
      </x:c>
      <x:c r="D4" s="133"/>
      <x:c r="E4" s="134"/>
      <x:c r="F4" s="129" t="str">
        <x:v>Lack of test cases</x:v>
      </x:c>
      <x:c r="G4" s="129"/>
      <x:c r="H4" s="129"/>
      <x:c r="I4" s="129"/>
      <x:c r="J4" s="129"/>
      <x:c r="K4" s="129"/>
      <x:c r="L4" s="135" t="str">
        <x:f aca="0"/>
        <x:v>N/A (reference source not supplied)</x:v>
      </x:c>
      <x:c r="M4" s="135"/>
      <x:c r="N4" s="135"/>
      <x:c r="O4" s="135"/>
      <x:c r="P4" s="135"/>
      <x:c r="Q4" s="135"/>
      <x:c r="R4" s="135"/>
      <x:c r="S4" s="135"/>
      <x:c r="T4" s="135"/>
      <x:c r="V4" s="126"/>
    </x:row>
    <x:row r="5" ht="13.5" hidden="0" customHeight="1">
      <x:c r="A5" s="127" t="s">
        <x:v>83</x:v>
      </x:c>
      <x:c r="B5" s="127"/>
      <x:c r="C5" s="583" t="str">
        <x:v>Verify DayInMonth returns the correct number of days for normal months, February in leap/non-leap years, and invalid month boundaries.</x:v>
      </x:c>
      <x:c r="D5" s="583"/>
      <x:c r="E5" s="583"/>
      <x:c r="F5" s="583"/>
      <x:c r="G5" s="583"/>
      <x:c r="H5" s="583"/>
      <x:c r="I5" s="583"/>
      <x:c r="J5" s="583"/>
      <x:c r="K5" s="583"/>
      <x:c r="L5" s="583"/>
      <x:c r="M5" s="583"/>
      <x:c r="N5" s="583"/>
      <x:c r="O5" s="583"/>
      <x:c r="P5" s="583"/>
      <x:c r="Q5" s="583"/>
      <x:c r="R5" s="583"/>
      <x:c r="S5" s="583"/>
      <x:c r="T5" s="583"/>
    </x:row>
    <x:row r="6" ht="13.5" hidden="0" customHeight="1">
      <x:c r="A6" s="137" t="s">
        <x:v>73</x:v>
      </x:c>
      <x:c r="B6" s="137"/>
      <x:c r="C6" s="138" t="str">
        <x:v>Failed</x:v>
      </x:c>
      <x:c r="D6" s="138"/>
      <x:c r="E6" s="138"/>
      <x:c r="F6" s="138" t="str">
        <x:v>Untested</x:v>
      </x:c>
      <x:c r="G6" s="138"/>
      <x:c r="H6" s="138"/>
      <x:c r="I6" s="138"/>
      <x:c r="J6" s="138"/>
      <x:c r="K6" s="138"/>
      <x:c r="L6" s="139" t="str">
        <x:v>N/A/B</x:v>
      </x:c>
      <x:c r="M6" s="139"/>
      <x:c r="N6" s="139"/>
      <x:c r="O6" s="140" t="str">
        <x:v>Total Test Cases</x:v>
      </x:c>
      <x:c r="P6" s="140"/>
      <x:c r="Q6" s="140"/>
      <x:c r="R6" s="140"/>
      <x:c r="S6" s="140"/>
      <x:c r="T6" s="140"/>
      <x:c r="V6" s="126"/>
    </x:row>
    <x:row r="7" ht="13.5" hidden="0" customHeight="1">
      <x:c r="A7" s="141" t="n">
        <x:f aca="0">COUNTIF(F40:T40,"P")</x:f>
        <x:v>0</x:v>
      </x:c>
      <x:c r="B7" s="141"/>
      <x:c r="C7" s="142" t="n">
        <x:f aca="0">COUNTIF(F40:T40,"F")</x:f>
        <x:v>0</x:v>
      </x:c>
      <x:c r="D7" s="142"/>
      <x:c r="E7" s="142"/>
      <x:c r="F7" s="142" t="n">
        <x:f aca="0">O7-A7-C7</x:f>
        <x:v>10</x:v>
      </x:c>
      <x:c r="G7" s="142"/>
      <x:c r="H7" s="142"/>
      <x:c r="I7" s="142"/>
      <x:c r="J7" s="142"/>
      <x:c r="K7" s="142"/>
      <x:c r="L7" s="143" t="n">
        <x:f aca="0">COUNTIF(F39:T39,"N")</x:f>
        <x:v>5</x:v>
      </x:c>
      <x:c r="M7" s="143" t="n">
        <x:f aca="0">COUNTIF(F39:T39,"A")</x:f>
        <x:v>2</x:v>
      </x:c>
      <x:c r="N7" s="143" t="n">
        <x:f aca="0">COUNTIF(F39:T39,"B")</x:f>
        <x:v>3</x:v>
      </x:c>
      <x:c r="O7" s="144" t="n">
        <x:f aca="0">COUNTA(F9:T9)</x:f>
        <x:v>10</x:v>
      </x:c>
      <x:c r="P7" s="144"/>
      <x:c r="Q7" s="144"/>
      <x:c r="R7" s="144"/>
      <x:c r="S7" s="144"/>
      <x:c r="T7" s="144"/>
      <x:c r="U7" s="145"/>
    </x:row>
    <x:row r="8" ht="11.25" hidden="0" customHeight="1"/>
    <x:row r="9" ht="46.5" hidden="0" customHeight="1">
      <x:c r="A9" s="146"/>
      <x:c r="B9" s="147"/>
      <x:c r="C9" s="148"/>
      <x:c r="D9" s="149"/>
      <x:c r="E9" s="148"/>
      <x:c r="F9" s="596" t="str">
        <x:v>UTCID01</x:v>
      </x:c>
      <x:c r="G9" s="596" t="str">
        <x:v>UTCID02</x:v>
      </x:c>
      <x:c r="H9" s="596" t="str">
        <x:v>UTCID03</x:v>
      </x:c>
      <x:c r="I9" s="596" t="str">
        <x:v>UTCID04</x:v>
      </x:c>
      <x:c r="J9" s="596" t="str">
        <x:v>UTCID05</x:v>
      </x:c>
      <x:c r="K9" s="596" t="str">
        <x:v>UTCID06</x:v>
      </x:c>
      <x:c r="L9" s="596" t="str">
        <x:v>UTCID07</x:v>
      </x:c>
      <x:c r="M9" s="596" t="str">
        <x:v>UTCID08</x:v>
      </x:c>
      <x:c r="N9" s="596" t="str">
        <x:v>UTCID09</x:v>
      </x:c>
      <x:c r="O9" s="596" t="str">
        <x:v>UTCID10</x:v>
      </x:c>
      <x:c r="P9" s="596"/>
      <x:c r="Q9" s="596"/>
      <x:c r="R9" s="596"/>
      <x:c r="S9" s="596"/>
      <x:c r="T9" s="597"/>
      <x:c r="U9" s="152"/>
      <x:c r="V9" s="153"/>
      <x:c r="W9" s="154"/>
    </x:row>
    <x:row r="10" ht="13.5" hidden="0" customHeight="1">
      <x:c r="A10" s="155" t="s">
        <x:v>84</x:v>
      </x:c>
      <x:c r="B10" s="584" t="str">
        <x:v>Precondition</x:v>
      </x:c>
      <x:c r="C10" s="585"/>
      <x:c r="D10" s="586" t="str">
        <x:v>DayInMonth is callable. Execution/result rows stay blank until the unit tests are run.</x:v>
      </x:c>
      <x:c r="E10" s="587"/>
      <x:c r="F10" s="588"/>
      <x:c r="G10" s="588"/>
      <x:c r="H10" s="588"/>
      <x:c r="I10" s="588"/>
      <x:c r="J10" s="588"/>
      <x:c r="K10" s="588"/>
      <x:c r="L10" s="588"/>
      <x:c r="M10" s="588"/>
      <x:c r="N10" s="588"/>
      <x:c r="O10" s="588"/>
      <x:c r="P10" s="588"/>
      <x:c r="Q10" s="588"/>
      <x:c r="R10" s="588"/>
      <x:c r="S10" s="588"/>
      <x:c r="T10" s="589"/>
    </x:row>
    <x:row r="11" ht="13.5" hidden="0" customHeight="1">
      <x:c r="A11" s="162"/>
      <x:c r="B11" s="163"/>
      <x:c r="C11" s="164"/>
      <x:c r="D11" s="165"/>
      <x:c r="E11" s="159"/>
      <x:c r="F11" s="598"/>
      <x:c r="G11" s="598"/>
      <x:c r="H11" s="598"/>
      <x:c r="I11" s="598"/>
      <x:c r="J11" s="598"/>
      <x:c r="K11" s="598"/>
      <x:c r="L11" s="598"/>
      <x:c r="M11" s="598"/>
      <x:c r="N11" s="598"/>
      <x:c r="O11" s="598"/>
      <x:c r="P11" s="598"/>
      <x:c r="Q11" s="598"/>
      <x:c r="R11" s="598"/>
      <x:c r="S11" s="598"/>
      <x:c r="T11" s="599"/>
      <x:c r="V11" s="126"/>
    </x:row>
    <x:row r="12" ht="13.5" hidden="0" customHeight="1">
      <x:c r="A12" s="162"/>
      <x:c r="B12" s="163"/>
      <x:c r="C12" s="164"/>
      <x:c r="D12" s="165"/>
      <x:c r="E12" s="159"/>
      <x:c r="F12" s="598"/>
      <x:c r="G12" s="598"/>
      <x:c r="H12" s="598"/>
      <x:c r="I12" s="598"/>
      <x:c r="J12" s="598"/>
      <x:c r="K12" s="598"/>
      <x:c r="L12" s="598"/>
      <x:c r="M12" s="598"/>
      <x:c r="N12" s="598"/>
      <x:c r="O12" s="598"/>
      <x:c r="P12" s="598"/>
      <x:c r="Q12" s="598"/>
      <x:c r="R12" s="598"/>
      <x:c r="S12" s="598"/>
      <x:c r="T12" s="599"/>
    </x:row>
    <x:row r="13" ht="13.5" hidden="0" customHeight="1">
      <x:c r="A13" s="162"/>
      <x:c r="B13" s="163"/>
      <x:c r="C13" s="164"/>
      <x:c r="D13" s="165"/>
      <x:c r="E13" s="168"/>
      <x:c r="F13" s="598"/>
      <x:c r="G13" s="598"/>
      <x:c r="H13" s="598"/>
      <x:c r="I13" s="598"/>
      <x:c r="J13" s="598"/>
      <x:c r="K13" s="598"/>
      <x:c r="L13" s="598"/>
      <x:c r="M13" s="598"/>
      <x:c r="N13" s="598"/>
      <x:c r="O13" s="598"/>
      <x:c r="P13" s="598"/>
      <x:c r="Q13" s="598"/>
      <x:c r="R13" s="598"/>
      <x:c r="S13" s="598"/>
      <x:c r="T13" s="599"/>
    </x:row>
    <x:row r="14" ht="13.5" hidden="0" customHeight="1">
      <x:c r="A14" s="162"/>
      <x:c r="B14" s="163" t="str">
        <x:v>Month</x:v>
      </x:c>
      <x:c r="C14" s="164"/>
      <x:c r="D14" s="165"/>
      <x:c r="E14" s="169"/>
      <x:c r="F14" s="598"/>
      <x:c r="G14" s="598"/>
      <x:c r="H14" s="598"/>
      <x:c r="I14" s="598"/>
      <x:c r="J14" s="598"/>
      <x:c r="K14" s="598"/>
      <x:c r="L14" s="598"/>
      <x:c r="M14" s="598"/>
      <x:c r="N14" s="598"/>
      <x:c r="O14" s="598"/>
      <x:c r="P14" s="598"/>
      <x:c r="Q14" s="598"/>
      <x:c r="R14" s="598"/>
      <x:c r="S14" s="598"/>
      <x:c r="T14" s="599"/>
    </x:row>
    <x:row r="15" ht="13.5" hidden="0" customHeight="1">
      <x:c r="A15" s="162"/>
      <x:c r="B15" s="163"/>
      <x:c r="C15" s="164"/>
      <x:c r="D15" s="165" t="n">
        <x:v>1</x:v>
      </x:c>
      <x:c r="E15" s="169"/>
      <x:c r="F15" s="598" t="str">
        <x:v>O</x:v>
      </x:c>
      <x:c r="G15" s="598"/>
      <x:c r="H15" s="598"/>
      <x:c r="I15" s="598"/>
      <x:c r="J15" s="598"/>
      <x:c r="K15" s="598"/>
      <x:c r="L15" s="598"/>
      <x:c r="M15" s="598"/>
      <x:c r="N15" s="598"/>
      <x:c r="O15" s="598"/>
      <x:c r="P15" s="598"/>
      <x:c r="Q15" s="598"/>
      <x:c r="R15" s="598"/>
      <x:c r="S15" s="598"/>
      <x:c r="T15" s="599"/>
    </x:row>
    <x:row r="16" ht="13.5" hidden="0" customHeight="1">
      <x:c r="A16" s="162"/>
      <x:c r="B16" s="163"/>
      <x:c r="C16" s="164"/>
      <x:c r="D16" s="165" t="n">
        <x:v>4</x:v>
      </x:c>
      <x:c r="E16" s="169"/>
      <x:c r="F16" s="598"/>
      <x:c r="G16" s="598" t="str">
        <x:v>O</x:v>
      </x:c>
      <x:c r="H16" s="598"/>
      <x:c r="I16" s="598"/>
      <x:c r="J16" s="598"/>
      <x:c r="K16" s="598"/>
      <x:c r="L16" s="598"/>
      <x:c r="M16" s="598"/>
      <x:c r="N16" s="598"/>
      <x:c r="O16" s="598"/>
      <x:c r="P16" s="598"/>
      <x:c r="Q16" s="598"/>
      <x:c r="R16" s="598"/>
      <x:c r="S16" s="598"/>
      <x:c r="T16" s="599"/>
    </x:row>
    <x:row r="17" ht="13.5" hidden="0" customHeight="1">
      <x:c r="A17" s="162"/>
      <x:c r="B17" s="163"/>
      <x:c r="C17" s="164"/>
      <x:c r="D17" s="165" t="n">
        <x:v>2</x:v>
      </x:c>
      <x:c r="E17" s="169"/>
      <x:c r="F17" s="598"/>
      <x:c r="G17" s="598"/>
      <x:c r="H17" s="598" t="str">
        <x:v>O</x:v>
      </x:c>
      <x:c r="I17" s="598" t="str">
        <x:v>O</x:v>
      </x:c>
      <x:c r="J17" s="598" t="str">
        <x:v>O</x:v>
      </x:c>
      <x:c r="K17" s="598" t="str">
        <x:v>O</x:v>
      </x:c>
      <x:c r="L17" s="598"/>
      <x:c r="M17" s="598"/>
      <x:c r="N17" s="598"/>
      <x:c r="O17" s="598"/>
      <x:c r="P17" s="598"/>
      <x:c r="Q17" s="598"/>
      <x:c r="R17" s="598"/>
      <x:c r="S17" s="598"/>
      <x:c r="T17" s="599"/>
      <x:c r="U17" s="170"/>
    </x:row>
    <x:row r="18" ht="13.5" hidden="0" customHeight="1">
      <x:c r="A18" s="162"/>
      <x:c r="B18" s="163"/>
      <x:c r="C18" s="164"/>
      <x:c r="D18" s="165" t="n">
        <x:v>12</x:v>
      </x:c>
      <x:c r="E18" s="169"/>
      <x:c r="F18" s="598"/>
      <x:c r="G18" s="598"/>
      <x:c r="H18" s="598"/>
      <x:c r="I18" s="598"/>
      <x:c r="J18" s="598"/>
      <x:c r="K18" s="598"/>
      <x:c r="L18" s="598" t="str">
        <x:v>O</x:v>
      </x:c>
      <x:c r="M18" s="598"/>
      <x:c r="N18" s="598"/>
      <x:c r="O18" s="598"/>
      <x:c r="P18" s="598"/>
      <x:c r="Q18" s="598"/>
      <x:c r="R18" s="598"/>
      <x:c r="S18" s="598"/>
      <x:c r="T18" s="599"/>
      <x:c r="U18" s="170"/>
    </x:row>
    <x:row r="19" ht="13.5" hidden="0" customHeight="1">
      <x:c r="A19" s="162"/>
      <x:c r="B19" s="163"/>
      <x:c r="C19" s="164"/>
      <x:c r="D19" s="171" t="n">
        <x:v>11</x:v>
      </x:c>
      <x:c r="E19" s="171"/>
      <x:c r="F19" s="598"/>
      <x:c r="G19" s="598"/>
      <x:c r="H19" s="598"/>
      <x:c r="I19" s="598"/>
      <x:c r="J19" s="598"/>
      <x:c r="K19" s="598"/>
      <x:c r="L19" s="598"/>
      <x:c r="M19" s="598" t="str">
        <x:v>O</x:v>
      </x:c>
      <x:c r="N19" s="598"/>
      <x:c r="O19" s="598"/>
      <x:c r="P19" s="598"/>
      <x:c r="Q19" s="598"/>
      <x:c r="R19" s="598"/>
      <x:c r="S19" s="598"/>
      <x:c r="T19" s="599"/>
    </x:row>
    <x:row r="20" ht="13.5" hidden="0" customHeight="1">
      <x:c r="A20" s="162"/>
      <x:c r="B20" s="163"/>
      <x:c r="C20" s="164"/>
      <x:c r="D20" s="165" t="n">
        <x:v>0</x:v>
      </x:c>
      <x:c r="E20" s="169"/>
      <x:c r="F20" s="598"/>
      <x:c r="G20" s="598"/>
      <x:c r="H20" s="598"/>
      <x:c r="I20" s="598"/>
      <x:c r="J20" s="598"/>
      <x:c r="K20" s="598"/>
      <x:c r="L20" s="598"/>
      <x:c r="M20" s="598"/>
      <x:c r="N20" s="598" t="str">
        <x:v>O</x:v>
      </x:c>
      <x:c r="O20" s="598"/>
      <x:c r="P20" s="598"/>
      <x:c r="Q20" s="598"/>
      <x:c r="R20" s="598"/>
      <x:c r="S20" s="598"/>
      <x:c r="T20" s="599"/>
    </x:row>
    <x:row r="21" ht="13.5" hidden="0" customHeight="1">
      <x:c r="A21" s="162"/>
      <x:c r="B21" s="163"/>
      <x:c r="C21" s="164"/>
      <x:c r="D21" s="165" t="n">
        <x:v>13</x:v>
      </x:c>
      <x:c r="E21" s="169"/>
      <x:c r="F21" s="598"/>
      <x:c r="G21" s="598"/>
      <x:c r="H21" s="598"/>
      <x:c r="I21" s="598"/>
      <x:c r="J21" s="598"/>
      <x:c r="K21" s="598"/>
      <x:c r="L21" s="598"/>
      <x:c r="M21" s="598"/>
      <x:c r="N21" s="598"/>
      <x:c r="O21" s="598" t="str">
        <x:v>O</x:v>
      </x:c>
      <x:c r="P21" s="598"/>
      <x:c r="Q21" s="598"/>
      <x:c r="R21" s="598"/>
      <x:c r="S21" s="598"/>
      <x:c r="T21" s="599"/>
    </x:row>
    <x:row r="22" ht="13.5" hidden="0" customHeight="1">
      <x:c r="A22" s="162"/>
      <x:c r="B22" s="163" t="str">
        <x:v>Year</x:v>
      </x:c>
      <x:c r="C22" s="164"/>
      <x:c r="D22" s="165"/>
      <x:c r="E22" s="169"/>
      <x:c r="F22" s="598"/>
      <x:c r="G22" s="598"/>
      <x:c r="H22" s="598"/>
      <x:c r="I22" s="598"/>
      <x:c r="J22" s="598"/>
      <x:c r="K22" s="598"/>
      <x:c r="L22" s="598"/>
      <x:c r="M22" s="598"/>
      <x:c r="N22" s="598"/>
      <x:c r="O22" s="598"/>
      <x:c r="P22" s="598"/>
      <x:c r="Q22" s="598"/>
      <x:c r="R22" s="598"/>
      <x:c r="S22" s="598"/>
      <x:c r="T22" s="599"/>
    </x:row>
    <x:row r="23" ht="13.5" hidden="0" customHeight="1">
      <x:c r="A23" s="162"/>
      <x:c r="B23" s="163"/>
      <x:c r="C23" s="164"/>
      <x:c r="D23" s="165" t="n">
        <x:v>2026</x:v>
      </x:c>
      <x:c r="E23" s="169"/>
      <x:c r="F23" s="598" t="str">
        <x:v>O</x:v>
      </x:c>
      <x:c r="G23" s="598" t="str">
        <x:v>O</x:v>
      </x:c>
      <x:c r="H23" s="598"/>
      <x:c r="I23" s="598"/>
      <x:c r="J23" s="598"/>
      <x:c r="K23" s="598"/>
      <x:c r="L23" s="598" t="str">
        <x:v>O</x:v>
      </x:c>
      <x:c r="M23" s="598" t="str">
        <x:v>O</x:v>
      </x:c>
      <x:c r="N23" s="598" t="str">
        <x:v>O</x:v>
      </x:c>
      <x:c r="O23" s="598" t="str">
        <x:v>O</x:v>
      </x:c>
      <x:c r="P23" s="598"/>
      <x:c r="Q23" s="598"/>
      <x:c r="R23" s="598"/>
      <x:c r="S23" s="598"/>
      <x:c r="T23" s="599"/>
    </x:row>
    <x:row r="24" ht="13.5" hidden="0" customHeight="1">
      <x:c r="A24" s="162"/>
      <x:c r="B24" s="163"/>
      <x:c r="C24" s="164"/>
      <x:c r="D24" s="165" t="n">
        <x:v>2023</x:v>
      </x:c>
      <x:c r="E24" s="169"/>
      <x:c r="F24" s="598"/>
      <x:c r="G24" s="598"/>
      <x:c r="H24" s="598" t="str">
        <x:v>O</x:v>
      </x:c>
      <x:c r="I24" s="598"/>
      <x:c r="J24" s="598"/>
      <x:c r="K24" s="598"/>
      <x:c r="L24" s="598"/>
      <x:c r="M24" s="598"/>
      <x:c r="N24" s="598"/>
      <x:c r="O24" s="598"/>
      <x:c r="P24" s="598"/>
      <x:c r="Q24" s="598"/>
      <x:c r="R24" s="598"/>
      <x:c r="S24" s="598"/>
      <x:c r="T24" s="599"/>
    </x:row>
    <x:row r="25" ht="13.5" hidden="0" customHeight="1">
      <x:c r="A25" s="162"/>
      <x:c r="B25" s="163"/>
      <x:c r="C25" s="164"/>
      <x:c r="D25" s="165" t="n">
        <x:v>2000</x:v>
      </x:c>
      <x:c r="E25" s="169"/>
      <x:c r="F25" s="598"/>
      <x:c r="G25" s="598"/>
      <x:c r="H25" s="598"/>
      <x:c r="I25" s="598" t="str">
        <x:v>O</x:v>
      </x:c>
      <x:c r="J25" s="598"/>
      <x:c r="K25" s="598"/>
      <x:c r="L25" s="598"/>
      <x:c r="M25" s="598"/>
      <x:c r="N25" s="598"/>
      <x:c r="O25" s="598"/>
      <x:c r="P25" s="598"/>
      <x:c r="Q25" s="598"/>
      <x:c r="R25" s="598"/>
      <x:c r="S25" s="598"/>
      <x:c r="T25" s="599"/>
    </x:row>
    <x:row r="26" ht="13.5" hidden="0" customHeight="1">
      <x:c r="A26" s="162"/>
      <x:c r="B26" s="163"/>
      <x:c r="C26" s="164"/>
      <x:c r="D26" s="165" t="n">
        <x:v>1900</x:v>
      </x:c>
      <x:c r="E26" s="169"/>
      <x:c r="F26" s="598"/>
      <x:c r="G26" s="598"/>
      <x:c r="H26" s="598"/>
      <x:c r="I26" s="598"/>
      <x:c r="J26" s="598" t="str">
        <x:v>O</x:v>
      </x:c>
      <x:c r="K26" s="598"/>
      <x:c r="L26" s="598"/>
      <x:c r="M26" s="598"/>
      <x:c r="N26" s="598"/>
      <x:c r="O26" s="598"/>
      <x:c r="P26" s="598"/>
      <x:c r="Q26" s="598"/>
      <x:c r="R26" s="598"/>
      <x:c r="S26" s="598"/>
      <x:c r="T26" s="599"/>
    </x:row>
    <x:row r="27" ht="13.5" hidden="0" customHeight="1">
      <x:c r="A27" s="162"/>
      <x:c r="B27" s="163"/>
      <x:c r="C27" s="164"/>
      <x:c r="D27" s="165" t="n">
        <x:v>2024</x:v>
      </x:c>
      <x:c r="E27" s="169"/>
      <x:c r="F27" s="598"/>
      <x:c r="G27" s="598"/>
      <x:c r="H27" s="598"/>
      <x:c r="I27" s="598"/>
      <x:c r="J27" s="598"/>
      <x:c r="K27" s="598" t="str">
        <x:v>O</x:v>
      </x:c>
      <x:c r="L27" s="598"/>
      <x:c r="M27" s="598"/>
      <x:c r="N27" s="598"/>
      <x:c r="O27" s="598"/>
      <x:c r="P27" s="598"/>
      <x:c r="Q27" s="598"/>
      <x:c r="R27" s="598"/>
      <x:c r="S27" s="598"/>
      <x:c r="T27" s="599"/>
    </x:row>
    <x:row r="28" ht="13.5" hidden="0" customHeight="1">
      <x:c r="A28" s="162"/>
      <x:c r="B28" s="163"/>
      <x:c r="C28" s="164"/>
      <x:c r="D28" s="165"/>
      <x:c r="E28" s="169"/>
      <x:c r="F28" s="598"/>
      <x:c r="G28" s="598"/>
      <x:c r="H28" s="598"/>
      <x:c r="I28" s="598"/>
      <x:c r="J28" s="598"/>
      <x:c r="K28" s="598"/>
      <x:c r="L28" s="598"/>
      <x:c r="M28" s="598"/>
      <x:c r="N28" s="598"/>
      <x:c r="O28" s="598"/>
      <x:c r="P28" s="598"/>
      <x:c r="Q28" s="598"/>
      <x:c r="R28" s="598"/>
      <x:c r="S28" s="598"/>
      <x:c r="T28" s="599"/>
    </x:row>
    <x:row r="29" ht="13.5" hidden="0" customHeight="1">
      <x:c r="A29" s="162"/>
      <x:c r="B29" s="163"/>
      <x:c r="C29" s="164"/>
      <x:c r="D29" s="165"/>
      <x:c r="E29" s="169"/>
      <x:c r="F29" s="598"/>
      <x:c r="G29" s="598"/>
      <x:c r="H29" s="598"/>
      <x:c r="I29" s="598"/>
      <x:c r="J29" s="598"/>
      <x:c r="K29" s="598"/>
      <x:c r="L29" s="598"/>
      <x:c r="M29" s="598"/>
      <x:c r="N29" s="598"/>
      <x:c r="O29" s="598"/>
      <x:c r="P29" s="598"/>
      <x:c r="Q29" s="598"/>
      <x:c r="R29" s="598"/>
      <x:c r="S29" s="598"/>
      <x:c r="T29" s="599"/>
    </x:row>
    <x:row r="30" ht="13.5" hidden="0" customHeight="1">
      <x:c r="A30" s="162"/>
      <x:c r="B30" s="172"/>
      <x:c r="C30" s="173"/>
      <x:c r="D30" s="174"/>
      <x:c r="E30" s="175"/>
      <x:c r="F30" s="600"/>
      <x:c r="G30" s="600"/>
      <x:c r="H30" s="600"/>
      <x:c r="I30" s="600"/>
      <x:c r="J30" s="600"/>
      <x:c r="K30" s="600"/>
      <x:c r="L30" s="600"/>
      <x:c r="M30" s="600"/>
      <x:c r="N30" s="600"/>
      <x:c r="O30" s="600"/>
      <x:c r="P30" s="600"/>
      <x:c r="Q30" s="600"/>
      <x:c r="R30" s="600"/>
      <x:c r="S30" s="600"/>
      <x:c r="T30" s="601"/>
    </x:row>
    <x:row r="31" ht="13.5" hidden="0" customHeight="1">
      <x:c r="A31" s="178" t="str">
        <x:v>Confirm</x:v>
      </x:c>
      <x:c r="B31" s="179" t="str">
        <x:v>Return</x:v>
      </x:c>
      <x:c r="C31" s="180"/>
      <x:c r="D31" s="181"/>
      <x:c r="E31" s="182"/>
      <x:c r="F31" s="602"/>
      <x:c r="G31" s="602"/>
      <x:c r="H31" s="602"/>
      <x:c r="I31" s="602"/>
      <x:c r="J31" s="602"/>
      <x:c r="K31" s="602"/>
      <x:c r="L31" s="602"/>
      <x:c r="M31" s="602"/>
      <x:c r="N31" s="602"/>
      <x:c r="O31" s="602"/>
      <x:c r="P31" s="602"/>
      <x:c r="Q31" s="602"/>
      <x:c r="R31" s="602"/>
      <x:c r="S31" s="602"/>
      <x:c r="T31" s="603"/>
    </x:row>
    <x:row r="32" ht="13.5" hidden="0" customHeight="1">
      <x:c r="A32" s="183"/>
      <x:c r="B32" s="184"/>
      <x:c r="C32" s="185"/>
      <x:c r="D32" s="186" t="n">
        <x:v>31</x:v>
      </x:c>
      <x:c r="E32" s="187"/>
      <x:c r="F32" s="598" t="str">
        <x:v>O</x:v>
      </x:c>
      <x:c r="G32" s="598"/>
      <x:c r="H32" s="598"/>
      <x:c r="I32" s="598"/>
      <x:c r="J32" s="598"/>
      <x:c r="K32" s="598"/>
      <x:c r="L32" s="598" t="str">
        <x:v>O</x:v>
      </x:c>
      <x:c r="M32" s="598"/>
      <x:c r="N32" s="598"/>
      <x:c r="O32" s="598"/>
      <x:c r="P32" s="598"/>
      <x:c r="Q32" s="598"/>
      <x:c r="R32" s="598"/>
      <x:c r="S32" s="598"/>
      <x:c r="T32" s="599"/>
    </x:row>
    <x:row r="33" ht="13.5" hidden="0" customHeight="1">
      <x:c r="A33" s="183"/>
      <x:c r="B33" s="184"/>
      <x:c r="C33" s="188"/>
      <x:c r="D33" s="186" t="n">
        <x:v>30</x:v>
      </x:c>
      <x:c r="E33" s="189"/>
      <x:c r="F33" s="598"/>
      <x:c r="G33" s="598" t="str">
        <x:v>O</x:v>
      </x:c>
      <x:c r="H33" s="598"/>
      <x:c r="I33" s="598"/>
      <x:c r="J33" s="598"/>
      <x:c r="K33" s="598"/>
      <x:c r="L33" s="598"/>
      <x:c r="M33" s="598" t="str">
        <x:v>O</x:v>
      </x:c>
      <x:c r="N33" s="598"/>
      <x:c r="O33" s="598"/>
      <x:c r="P33" s="598"/>
      <x:c r="Q33" s="598"/>
      <x:c r="R33" s="598"/>
      <x:c r="S33" s="598"/>
      <x:c r="T33" s="599"/>
    </x:row>
    <x:row r="34" ht="13.5" hidden="0" customHeight="1">
      <x:c r="A34" s="183"/>
      <x:c r="B34" s="184"/>
      <x:c r="C34" s="188"/>
      <x:c r="D34" s="186" t="n">
        <x:v>28</x:v>
      </x:c>
      <x:c r="E34" s="189"/>
      <x:c r="F34" s="598"/>
      <x:c r="G34" s="598"/>
      <x:c r="H34" s="598" t="str">
        <x:v>O</x:v>
      </x:c>
      <x:c r="I34" s="598"/>
      <x:c r="J34" s="598" t="str">
        <x:v>O</x:v>
      </x:c>
      <x:c r="K34" s="598"/>
      <x:c r="L34" s="598"/>
      <x:c r="M34" s="598"/>
      <x:c r="N34" s="598"/>
      <x:c r="O34" s="598"/>
      <x:c r="P34" s="598"/>
      <x:c r="Q34" s="598"/>
      <x:c r="R34" s="598"/>
      <x:c r="S34" s="598"/>
      <x:c r="T34" s="599"/>
    </x:row>
    <x:row r="35" ht="13.5" hidden="0" customHeight="1">
      <x:c r="A35" s="183"/>
      <x:c r="B35" s="184"/>
      <x:c r="C35" s="188"/>
      <x:c r="D35" s="186" t="n">
        <x:v>29</x:v>
      </x:c>
      <x:c r="E35" s="189"/>
      <x:c r="F35" s="598"/>
      <x:c r="G35" s="598"/>
      <x:c r="H35" s="598"/>
      <x:c r="I35" s="598" t="str">
        <x:v>O</x:v>
      </x:c>
      <x:c r="J35" s="598"/>
      <x:c r="K35" s="598" t="str">
        <x:v>O</x:v>
      </x:c>
      <x:c r="L35" s="598"/>
      <x:c r="M35" s="598"/>
      <x:c r="N35" s="598"/>
      <x:c r="O35" s="598"/>
      <x:c r="P35" s="598"/>
      <x:c r="Q35" s="598"/>
      <x:c r="R35" s="598"/>
      <x:c r="S35" s="598"/>
      <x:c r="T35" s="599"/>
    </x:row>
    <x:row r="36" ht="13.5" hidden="0" customHeight="1">
      <x:c r="A36" s="183"/>
      <x:c r="B36" s="184"/>
      <x:c r="C36" s="188"/>
      <x:c r="D36" s="186" t="n">
        <x:v>0</x:v>
      </x:c>
      <x:c r="E36" s="189"/>
      <x:c r="F36" s="598"/>
      <x:c r="G36" s="598"/>
      <x:c r="H36" s="598"/>
      <x:c r="I36" s="598"/>
      <x:c r="J36" s="598"/>
      <x:c r="K36" s="598"/>
      <x:c r="L36" s="598"/>
      <x:c r="M36" s="598"/>
      <x:c r="N36" s="598" t="str">
        <x:v>O</x:v>
      </x:c>
      <x:c r="O36" s="598" t="str">
        <x:v>O</x:v>
      </x:c>
      <x:c r="P36" s="598"/>
      <x:c r="Q36" s="598"/>
      <x:c r="R36" s="598"/>
      <x:c r="S36" s="598"/>
      <x:c r="T36" s="599"/>
    </x:row>
    <x:row r="37" ht="13.5" hidden="0" customHeight="1">
      <x:c r="A37" s="183"/>
      <x:c r="B37" s="184"/>
      <x:c r="C37" s="188"/>
      <x:c r="D37" s="186"/>
      <x:c r="E37" s="189"/>
      <x:c r="F37" s="598"/>
      <x:c r="G37" s="598"/>
      <x:c r="H37" s="598"/>
      <x:c r="I37" s="598"/>
      <x:c r="J37" s="598"/>
      <x:c r="K37" s="598"/>
      <x:c r="L37" s="598"/>
      <x:c r="M37" s="598"/>
      <x:c r="N37" s="598"/>
      <x:c r="O37" s="598"/>
      <x:c r="P37" s="598"/>
      <x:c r="Q37" s="598"/>
      <x:c r="R37" s="598"/>
      <x:c r="S37" s="598"/>
      <x:c r="T37" s="599"/>
    </x:row>
    <x:row r="38" ht="13.5" hidden="0" customHeight="1">
      <x:c r="A38" s="183"/>
      <x:c r="B38" s="190"/>
      <x:c r="C38" s="191"/>
      <x:c r="D38" s="192"/>
      <x:c r="E38" s="193"/>
      <x:c r="F38" s="604"/>
      <x:c r="G38" s="604"/>
      <x:c r="H38" s="604"/>
      <x:c r="I38" s="604"/>
      <x:c r="J38" s="604"/>
      <x:c r="K38" s="604"/>
      <x:c r="L38" s="604"/>
      <x:c r="M38" s="604"/>
      <x:c r="N38" s="604"/>
      <x:c r="O38" s="604"/>
      <x:c r="P38" s="604"/>
      <x:c r="Q38" s="604"/>
      <x:c r="R38" s="604"/>
      <x:c r="S38" s="604"/>
      <x:c r="T38" s="605"/>
    </x:row>
    <x:row r="39" ht="13.5" hidden="0" customHeight="1">
      <x:c r="A39" s="178" t="str">
        <x:v>Result</x:v>
      </x:c>
      <x:c r="B39" s="196" t="str">
        <x:v>Type(N : Normal, A : Abnormal, B : Boundary)</x:v>
      </x:c>
      <x:c r="C39" s="196"/>
      <x:c r="D39" s="196"/>
      <x:c r="E39" s="196"/>
      <x:c r="F39" s="606" t="str">
        <x:v>N</x:v>
      </x:c>
      <x:c r="G39" s="606" t="str">
        <x:v>N</x:v>
      </x:c>
      <x:c r="H39" s="606" t="str">
        <x:v>N</x:v>
      </x:c>
      <x:c r="I39" s="606" t="str">
        <x:v>B</x:v>
      </x:c>
      <x:c r="J39" s="606" t="str">
        <x:v>B</x:v>
      </x:c>
      <x:c r="K39" s="606" t="str">
        <x:v>B</x:v>
      </x:c>
      <x:c r="L39" s="606" t="str">
        <x:v>N</x:v>
      </x:c>
      <x:c r="M39" s="606" t="str">
        <x:v>N</x:v>
      </x:c>
      <x:c r="N39" s="606" t="str">
        <x:v>A</x:v>
      </x:c>
      <x:c r="O39" s="606" t="str">
        <x:v>A</x:v>
      </x:c>
      <x:c r="P39" s="606"/>
      <x:c r="Q39" s="606"/>
      <x:c r="R39" s="606"/>
      <x:c r="S39" s="606"/>
      <x:c r="T39" s="607"/>
    </x:row>
    <x:row r="40" ht="13.5" hidden="0" customHeight="1">
      <x:c r="A40" s="183"/>
      <x:c r="B40" s="199" t="str">
        <x:v>Passed/Failed</x:v>
      </x:c>
      <x:c r="C40" s="199"/>
      <x:c r="D40" s="199"/>
      <x:c r="E40" s="200"/>
      <x:c r="F40" s="608"/>
      <x:c r="G40" s="608"/>
      <x:c r="H40" s="608"/>
      <x:c r="I40" s="608"/>
      <x:c r="J40" s="608"/>
      <x:c r="K40" s="608"/>
      <x:c r="L40" s="608"/>
      <x:c r="M40" s="608"/>
      <x:c r="N40" s="608"/>
      <x:c r="O40" s="608"/>
      <x:c r="P40" s="608"/>
      <x:c r="Q40" s="608"/>
      <x:c r="R40" s="608"/>
      <x:c r="S40" s="608"/>
      <x:c r="T40" s="609"/>
    </x:row>
    <x:row r="41" ht="13.5" hidden="0" customHeight="1">
      <x:c r="A41" s="183"/>
      <x:c r="B41" s="203" t="str">
        <x:v>Executed Date</x:v>
      </x:c>
      <x:c r="C41" s="203"/>
      <x:c r="D41" s="203"/>
      <x:c r="E41" s="204"/>
      <x:c r="F41" s="610"/>
      <x:c r="G41" s="610"/>
      <x:c r="H41" s="610"/>
      <x:c r="I41" s="610"/>
      <x:c r="J41" s="610"/>
      <x:c r="K41" s="610"/>
      <x:c r="L41" s="610"/>
      <x:c r="M41" s="610"/>
      <x:c r="N41" s="610"/>
      <x:c r="O41" s="610"/>
      <x:c r="P41" s="610"/>
      <x:c r="Q41" s="610"/>
      <x:c r="R41" s="610"/>
      <x:c r="S41" s="610"/>
      <x:c r="T41" s="611"/>
    </x:row>
    <x:row r="42" ht="75.75" hidden="0" customHeight="1">
      <x:c r="A42" s="207"/>
      <x:c r="B42" s="208" t="str">
        <x:v>Defect ID</x:v>
      </x:c>
      <x:c r="C42" s="208"/>
      <x:c r="D42" s="208"/>
      <x:c r="E42" s="209"/>
      <x:c r="F42" s="612"/>
      <x:c r="G42" s="612"/>
      <x:c r="H42" s="612"/>
      <x:c r="I42" s="612"/>
      <x:c r="J42" s="612"/>
      <x:c r="K42" s="612"/>
      <x:c r="L42" s="612"/>
      <x:c r="M42" s="612"/>
      <x:c r="N42" s="612"/>
      <x:c r="O42" s="612"/>
      <x:c r="P42" s="612"/>
      <x:c r="Q42" s="612"/>
      <x:c r="R42" s="612"/>
      <x:c r="S42" s="612"/>
      <x:c r="T42" s="613"/>
    </x:row>
    <x:row r="43" ht="11.25" hidden="0" customHeight="1">
      <x:c r="A43" s="212"/>
    </x:row>
  </x:sheetData>
  <x:mergeCells>
    <x:mergeCell ref="A2:B2"/>
    <x:mergeCell ref="C2:E2"/>
    <x:mergeCell ref="F2:K2"/>
    <x:mergeCell ref="L2:T2"/>
    <x:mergeCell ref="A3:B3"/>
    <x:mergeCell ref="C3:E3"/>
    <x:mergeCell ref="F3:K3"/>
    <x:mergeCell ref="L3:N3"/>
    <x:mergeCell ref="A4:B4"/>
    <x:mergeCell ref="C4:D4"/>
    <x:mergeCell ref="F4:K4"/>
    <x:mergeCell ref="L4:T4"/>
    <x:mergeCell ref="A5:B5"/>
    <x:mergeCell ref="C5:T5"/>
    <x:mergeCell ref="A6:B6"/>
    <x:mergeCell ref="C6:E6"/>
    <x:mergeCell ref="F6:K6"/>
    <x:mergeCell ref="L6:N6"/>
    <x:mergeCell ref="O6:T6"/>
    <x:mergeCell ref="A7:B7"/>
    <x:mergeCell ref="C7:E7"/>
    <x:mergeCell ref="F7:K7"/>
    <x:mergeCell ref="O7:T7"/>
    <x:mergeCell ref="D19:E19"/>
    <x:mergeCell ref="B39:D39"/>
    <x:mergeCell ref="B40:D40"/>
    <x:mergeCell ref="B41:D41"/>
    <x:mergeCell ref="B42:D42"/>
  </x:mergeCells>
  <x:dataValidations count="3">
    <x:dataValidation type="list" errorStyle="stop" operator="between" allowBlank="1" showDropDown="0" showInputMessage="0" showErrorMessage="1" sqref="F39:T39">
      <x:formula1>"N,A,B,"</x:formula1>
      <x:formula2>0</x:formula2>
    </x:dataValidation>
    <x:dataValidation type="list" errorStyle="stop" operator="between" allowBlank="1" showDropDown="0" showInputMessage="0" showErrorMessage="1" sqref="F40:T40">
      <x:formula1>"P,F,"</x:formula1>
      <x:formula2>0</x:formula2>
    </x:dataValidation>
    <x:dataValidation type="list" errorStyle="stop" operator="between" allowBlank="1" showDropDown="0" showInputMessage="0" showErrorMessage="1" sqref="F10:T38">
      <x:formula1>"O,"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f88275ca42c649cc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ColWidth="8.9921875" defaultRowHeight="13.5"/>
  <x:cols>
    <x:col min="1" max="1" width="8.25" style="117" hidden="0" customWidth="1"/>
    <x:col min="2" max="2" width="13.359999656677246" style="118" hidden="0" customWidth="1"/>
    <x:col min="3" max="3" width="10.739999771118164" style="117" hidden="0" customWidth="1"/>
    <x:col min="4" max="4" width="11.369999885559082" style="119" hidden="0" customWidth="1"/>
    <x:col min="5" max="5" width="1.75" style="117" hidden="1" customWidth="1"/>
    <x:col min="6" max="21" width="2.869999885559082" style="117" hidden="0" customWidth="1"/>
    <x:col min="22" max="257" width="8.989999771118164" style="117" hidden="0" customWidth="0"/>
  </x:cols>
  <x:sheetData>
    <x:row r="1" ht="22.5" hidden="0" customHeight="1">
      <x:c r="A1" s="154"/>
      <x:c r="B1" s="213"/>
      <x:c r="D1" s="214"/>
    </x:row>
    <x:row r="2" ht="15" hidden="0" customHeight="1">
      <x:c r="A2" s="215" t="s">
        <x:v>80</x:v>
      </x:c>
      <x:c r="B2" s="215"/>
      <x:c r="C2" s="123" t="str">
        <x:f aca="0"/>
        <x:v>CHECK_DATE</x:v>
      </x:c>
      <x:c r="D2" s="123"/>
      <x:c r="E2" s="216"/>
      <x:c r="F2" s="217" t="str">
        <x:v>Function Name</x:v>
      </x:c>
      <x:c r="G2" s="217"/>
      <x:c r="H2" s="217"/>
      <x:c r="I2" s="217"/>
      <x:c r="J2" s="217"/>
      <x:c r="K2" s="217"/>
      <x:c r="L2" s="218" t="str">
        <x:f aca="0"/>
        <x:v>CheckDate</x:v>
      </x:c>
      <x:c r="M2" s="218"/>
      <x:c r="N2" s="218"/>
      <x:c r="O2" s="218"/>
      <x:c r="P2" s="218"/>
      <x:c r="Q2" s="218"/>
      <x:c r="R2" s="218"/>
      <x:c r="S2" s="218"/>
      <x:c r="T2" s="218"/>
    </x:row>
    <x:row r="3" ht="13.5" hidden="0" customHeight="1">
      <x:c r="A3" s="219" t="s">
        <x:v>81</x:v>
      </x:c>
      <x:c r="B3" s="219"/>
      <x:c r="C3" s="128" t="str">
        <x:v>Tuan Như</x:v>
      </x:c>
      <x:c r="D3" s="128"/>
      <x:c r="E3" s="128"/>
      <x:c r="F3" s="220" t="str">
        <x:v>Executed By</x:v>
      </x:c>
      <x:c r="G3" s="220"/>
      <x:c r="H3" s="220"/>
      <x:c r="I3" s="220"/>
      <x:c r="J3" s="220"/>
      <x:c r="K3" s="220"/>
      <x:c r="L3" s="130" t="str">
        <x:v>Not executed yet</x:v>
      </x:c>
      <x:c r="M3" s="130"/>
      <x:c r="N3" s="130"/>
      <x:c r="O3" s="131"/>
      <x:c r="P3" s="131"/>
      <x:c r="Q3" s="131"/>
      <x:c r="R3" s="131"/>
      <x:c r="S3" s="131"/>
      <x:c r="T3" s="132"/>
    </x:row>
    <x:row r="4" ht="13.5" hidden="0" customHeight="1">
      <x:c r="A4" s="127" t="s">
        <x:v>82</x:v>
      </x:c>
      <x:c r="B4" s="127"/>
      <x:c r="C4" s="133" t="str">
        <x:v>N/A</x:v>
      </x:c>
      <x:c r="D4" s="133"/>
      <x:c r="E4" s="134"/>
      <x:c r="F4" s="129" t="str">
        <x:v>Lack of test cases</x:v>
      </x:c>
      <x:c r="G4" s="129"/>
      <x:c r="H4" s="129"/>
      <x:c r="I4" s="129"/>
      <x:c r="J4" s="129"/>
      <x:c r="K4" s="129"/>
      <x:c r="L4" s="135" t="str">
        <x:f aca="0"/>
        <x:v>N/A (reference source not supplied)</x:v>
      </x:c>
      <x:c r="M4" s="135"/>
      <x:c r="N4" s="135"/>
      <x:c r="O4" s="135"/>
      <x:c r="P4" s="135"/>
      <x:c r="Q4" s="135"/>
      <x:c r="R4" s="135"/>
      <x:c r="S4" s="135"/>
      <x:c r="T4" s="135"/>
      <x:c r="V4" s="126"/>
    </x:row>
    <x:row r="5" ht="13.5" hidden="0" customHeight="1">
      <x:c r="A5" s="127" t="s">
        <x:v>83</x:v>
      </x:c>
      <x:c r="B5" s="127"/>
      <x:c r="C5" s="583" t="str">
        <x:v>Verify CheckDate returns True only for valid Year/Month/Day combinations, including month/day boundaries and leap-year February.</x:v>
      </x:c>
      <x:c r="D5" s="583"/>
      <x:c r="E5" s="583"/>
      <x:c r="F5" s="583"/>
      <x:c r="G5" s="583"/>
      <x:c r="H5" s="583"/>
      <x:c r="I5" s="583"/>
      <x:c r="J5" s="583"/>
      <x:c r="K5" s="583"/>
      <x:c r="L5" s="583"/>
      <x:c r="M5" s="583"/>
      <x:c r="N5" s="583"/>
      <x:c r="O5" s="583"/>
      <x:c r="P5" s="583"/>
      <x:c r="Q5" s="583"/>
      <x:c r="R5" s="583"/>
      <x:c r="S5" s="583"/>
      <x:c r="T5" s="583"/>
    </x:row>
    <x:row r="6" ht="13.5" hidden="0" customHeight="1">
      <x:c r="A6" s="137" t="s">
        <x:v>73</x:v>
      </x:c>
      <x:c r="B6" s="137"/>
      <x:c r="C6" s="138" t="str">
        <x:v>Failed</x:v>
      </x:c>
      <x:c r="D6" s="138"/>
      <x:c r="E6" s="138"/>
      <x:c r="F6" s="138" t="str">
        <x:v>Untested</x:v>
      </x:c>
      <x:c r="G6" s="138"/>
      <x:c r="H6" s="138"/>
      <x:c r="I6" s="138"/>
      <x:c r="J6" s="138"/>
      <x:c r="K6" s="138"/>
      <x:c r="L6" s="139" t="str">
        <x:v>N/A/B</x:v>
      </x:c>
      <x:c r="M6" s="139"/>
      <x:c r="N6" s="139"/>
      <x:c r="O6" s="140" t="str">
        <x:v>Total Test Cases</x:v>
      </x:c>
      <x:c r="P6" s="140"/>
      <x:c r="Q6" s="140"/>
      <x:c r="R6" s="140"/>
      <x:c r="S6" s="140"/>
      <x:c r="T6" s="140"/>
      <x:c r="V6" s="126"/>
    </x:row>
    <x:row r="7" ht="13.5" hidden="0" customHeight="1">
      <x:c r="A7" s="141" t="n">
        <x:f aca="0">COUNTIF(F40:T40,"P")</x:f>
        <x:v>0</x:v>
      </x:c>
      <x:c r="B7" s="141"/>
      <x:c r="C7" s="142" t="n">
        <x:f aca="0">COUNTIF(F40:T40,"F")</x:f>
        <x:v>0</x:v>
      </x:c>
      <x:c r="D7" s="142"/>
      <x:c r="E7" s="142"/>
      <x:c r="F7" s="142" t="n">
        <x:f aca="0">O7-A7-C7</x:f>
        <x:v>12</x:v>
      </x:c>
      <x:c r="G7" s="142"/>
      <x:c r="H7" s="142"/>
      <x:c r="I7" s="142"/>
      <x:c r="J7" s="142"/>
      <x:c r="K7" s="142"/>
      <x:c r="L7" s="143" t="n">
        <x:f aca="0">COUNTIF(F39:T39,"N")</x:f>
        <x:v>2</x:v>
      </x:c>
      <x:c r="M7" s="143" t="n">
        <x:f aca="0">COUNTIF(F39:T39,"A")</x:f>
        <x:v>3</x:v>
      </x:c>
      <x:c r="N7" s="143" t="n">
        <x:f aca="0">COUNTIF(F39:T39,"B")</x:f>
        <x:v>7</x:v>
      </x:c>
      <x:c r="O7" s="144" t="n">
        <x:f aca="0">COUNTA(F9:T9)</x:f>
        <x:v>12</x:v>
      </x:c>
      <x:c r="P7" s="144"/>
      <x:c r="Q7" s="144"/>
      <x:c r="R7" s="144"/>
      <x:c r="S7" s="144"/>
      <x:c r="T7" s="144"/>
      <x:c r="U7" s="145"/>
    </x:row>
    <x:row r="8" ht="11.25" hidden="0" customHeight="1"/>
    <x:row r="9" ht="43.5" hidden="0" customHeight="1">
      <x:c r="A9" s="221"/>
      <x:c r="B9" s="222"/>
      <x:c r="C9" s="223"/>
      <x:c r="D9" s="224"/>
      <x:c r="E9" s="223"/>
      <x:c r="F9" s="632" t="str">
        <x:v>UTCID01</x:v>
      </x:c>
      <x:c r="G9" s="632" t="str">
        <x:v>UTCID02</x:v>
      </x:c>
      <x:c r="H9" s="632" t="str">
        <x:v>UTCID03</x:v>
      </x:c>
      <x:c r="I9" s="632" t="str">
        <x:v>UTCID04</x:v>
      </x:c>
      <x:c r="J9" s="632" t="str">
        <x:v>UTCID05</x:v>
      </x:c>
      <x:c r="K9" s="632" t="str">
        <x:v>UTCID06</x:v>
      </x:c>
      <x:c r="L9" s="632" t="str">
        <x:v>UTCID07</x:v>
      </x:c>
      <x:c r="M9" s="632" t="str">
        <x:v>UTCID08</x:v>
      </x:c>
      <x:c r="N9" s="632" t="str">
        <x:v>UTCID09</x:v>
      </x:c>
      <x:c r="O9" s="632" t="str">
        <x:v>UTCID10</x:v>
      </x:c>
      <x:c r="P9" s="632" t="str">
        <x:v>UTCID11</x:v>
      </x:c>
      <x:c r="Q9" s="632" t="str">
        <x:v>UTCID12</x:v>
      </x:c>
      <x:c r="R9" s="632"/>
      <x:c r="S9" s="632"/>
      <x:c r="T9" s="633"/>
      <x:c r="U9" s="152"/>
      <x:c r="V9" s="153"/>
      <x:c r="W9" s="154"/>
    </x:row>
    <x:row r="10" ht="13.5" hidden="0" customHeight="1">
      <x:c r="A10" s="155" t="s">
        <x:v>84</x:v>
      </x:c>
      <x:c r="B10" s="620" t="str">
        <x:v>Precondition</x:v>
      </x:c>
      <x:c r="C10" s="621"/>
      <x:c r="D10" s="622" t="str">
        <x:v>CheckDate and DayInMonth are callable. Execution/result rows stay blank until the unit tests are run.</x:v>
      </x:c>
      <x:c r="E10" s="623"/>
      <x:c r="F10" s="624"/>
      <x:c r="G10" s="624"/>
      <x:c r="H10" s="624"/>
      <x:c r="I10" s="624"/>
      <x:c r="J10" s="624"/>
      <x:c r="K10" s="624"/>
      <x:c r="L10" s="624"/>
      <x:c r="M10" s="624"/>
      <x:c r="N10" s="624"/>
      <x:c r="O10" s="624"/>
      <x:c r="P10" s="624"/>
      <x:c r="Q10" s="624"/>
      <x:c r="R10" s="624"/>
      <x:c r="S10" s="624"/>
      <x:c r="T10" s="625"/>
    </x:row>
    <x:row r="11" ht="13.5" hidden="0" customHeight="1">
      <x:c r="A11" s="162"/>
      <x:c r="B11" s="163"/>
      <x:c r="C11" s="164"/>
      <x:c r="D11" s="165"/>
      <x:c r="E11" s="159"/>
      <x:c r="F11" s="634"/>
      <x:c r="G11" s="634"/>
      <x:c r="H11" s="634"/>
      <x:c r="I11" s="634"/>
      <x:c r="J11" s="634"/>
      <x:c r="K11" s="634"/>
      <x:c r="L11" s="634"/>
      <x:c r="M11" s="634"/>
      <x:c r="N11" s="634"/>
      <x:c r="O11" s="634"/>
      <x:c r="P11" s="634"/>
      <x:c r="Q11" s="634"/>
      <x:c r="R11" s="634"/>
      <x:c r="S11" s="634"/>
      <x:c r="T11" s="635"/>
      <x:c r="V11" s="126"/>
    </x:row>
    <x:row r="12" ht="13.5" hidden="0" customHeight="1">
      <x:c r="A12" s="162"/>
      <x:c r="B12" s="163"/>
      <x:c r="C12" s="164"/>
      <x:c r="D12" s="165"/>
      <x:c r="E12" s="159"/>
      <x:c r="F12" s="634"/>
      <x:c r="G12" s="634"/>
      <x:c r="H12" s="634"/>
      <x:c r="I12" s="634"/>
      <x:c r="J12" s="634"/>
      <x:c r="K12" s="634"/>
      <x:c r="L12" s="634"/>
      <x:c r="M12" s="634"/>
      <x:c r="N12" s="634"/>
      <x:c r="O12" s="634"/>
      <x:c r="P12" s="634"/>
      <x:c r="Q12" s="634"/>
      <x:c r="R12" s="634"/>
      <x:c r="S12" s="634"/>
      <x:c r="T12" s="635"/>
    </x:row>
    <x:row r="13" ht="13.5" hidden="0" customHeight="1">
      <x:c r="A13" s="162"/>
      <x:c r="B13" s="163"/>
      <x:c r="C13" s="164"/>
      <x:c r="D13" s="165"/>
      <x:c r="E13" s="168"/>
      <x:c r="F13" s="634"/>
      <x:c r="G13" s="634"/>
      <x:c r="H13" s="634"/>
      <x:c r="I13" s="634"/>
      <x:c r="J13" s="634"/>
      <x:c r="K13" s="634"/>
      <x:c r="L13" s="634"/>
      <x:c r="M13" s="634"/>
      <x:c r="N13" s="634"/>
      <x:c r="O13" s="634"/>
      <x:c r="P13" s="634"/>
      <x:c r="Q13" s="634"/>
      <x:c r="R13" s="634"/>
      <x:c r="S13" s="634"/>
      <x:c r="T13" s="635"/>
      <x:c r="V13" s="126"/>
    </x:row>
    <x:row r="14" ht="13.5" hidden="0" customHeight="1">
      <x:c r="A14" s="162"/>
      <x:c r="B14" s="163" t="str">
        <x:v>Day</x:v>
      </x:c>
      <x:c r="C14" s="164"/>
      <x:c r="D14" s="165" t="n">
        <x:v>15</x:v>
      </x:c>
      <x:c r="E14" s="169"/>
      <x:c r="F14" s="634" t="str">
        <x:v>O</x:v>
      </x:c>
      <x:c r="G14" s="634"/>
      <x:c r="H14" s="634" t="str">
        <x:v>O</x:v>
      </x:c>
      <x:c r="I14" s="634" t="str">
        <x:v>O</x:v>
      </x:c>
      <x:c r="J14" s="634"/>
      <x:c r="K14" s="634"/>
      <x:c r="L14" s="634"/>
      <x:c r="M14" s="634"/>
      <x:c r="N14" s="634"/>
      <x:c r="O14" s="634"/>
      <x:c r="P14" s="634"/>
      <x:c r="Q14" s="634"/>
      <x:c r="R14" s="634"/>
      <x:c r="S14" s="634"/>
      <x:c r="T14" s="635"/>
    </x:row>
    <x:row r="15" ht="13.5" hidden="0" customHeight="1">
      <x:c r="A15" s="162"/>
      <x:c r="B15" s="163"/>
      <x:c r="C15" s="164"/>
      <x:c r="D15" s="165" t="n">
        <x:v>20</x:v>
      </x:c>
      <x:c r="E15" s="169"/>
      <x:c r="F15" s="634"/>
      <x:c r="G15" s="634" t="str">
        <x:v>O</x:v>
      </x:c>
      <x:c r="H15" s="634"/>
      <x:c r="I15" s="634"/>
      <x:c r="J15" s="634"/>
      <x:c r="K15" s="634"/>
      <x:c r="L15" s="634"/>
      <x:c r="M15" s="634"/>
      <x:c r="N15" s="634"/>
      <x:c r="O15" s="634"/>
      <x:c r="P15" s="634"/>
      <x:c r="Q15" s="634"/>
      <x:c r="R15" s="634"/>
      <x:c r="S15" s="634"/>
      <x:c r="T15" s="635"/>
    </x:row>
    <x:row r="16" ht="13.5" hidden="0" customHeight="1">
      <x:c r="A16" s="162"/>
      <x:c r="B16" s="163"/>
      <x:c r="C16" s="164"/>
      <x:c r="D16" s="165" t="n">
        <x:v>0</x:v>
      </x:c>
      <x:c r="E16" s="169"/>
      <x:c r="F16" s="634"/>
      <x:c r="G16" s="634"/>
      <x:c r="H16" s="634"/>
      <x:c r="I16" s="634"/>
      <x:c r="J16" s="634" t="str">
        <x:v>O</x:v>
      </x:c>
      <x:c r="K16" s="634"/>
      <x:c r="L16" s="634"/>
      <x:c r="M16" s="634"/>
      <x:c r="N16" s="634"/>
      <x:c r="O16" s="634"/>
      <x:c r="P16" s="634"/>
      <x:c r="Q16" s="634"/>
      <x:c r="R16" s="634"/>
      <x:c r="S16" s="634"/>
      <x:c r="T16" s="635"/>
    </x:row>
    <x:row r="17" ht="13.5" hidden="0" customHeight="1">
      <x:c r="A17" s="162"/>
      <x:c r="B17" s="163"/>
      <x:c r="C17" s="164"/>
      <x:c r="D17" s="165" t="n">
        <x:v>1</x:v>
      </x:c>
      <x:c r="E17" s="169"/>
      <x:c r="F17" s="634"/>
      <x:c r="G17" s="634"/>
      <x:c r="H17" s="634"/>
      <x:c r="I17" s="634"/>
      <x:c r="J17" s="634"/>
      <x:c r="K17" s="634" t="str">
        <x:v>O</x:v>
      </x:c>
      <x:c r="L17" s="634"/>
      <x:c r="M17" s="634"/>
      <x:c r="N17" s="634"/>
      <x:c r="O17" s="634"/>
      <x:c r="P17" s="634"/>
      <x:c r="Q17" s="634"/>
      <x:c r="R17" s="634"/>
      <x:c r="S17" s="634"/>
      <x:c r="T17" s="635"/>
      <x:c r="U17" s="230"/>
    </x:row>
    <x:row r="18" ht="13.5" hidden="0" customHeight="1">
      <x:c r="A18" s="162"/>
      <x:c r="B18" s="163"/>
      <x:c r="C18" s="164"/>
      <x:c r="D18" s="165" t="n">
        <x:v>31</x:v>
      </x:c>
      <x:c r="E18" s="169"/>
      <x:c r="F18" s="634"/>
      <x:c r="G18" s="634"/>
      <x:c r="H18" s="634"/>
      <x:c r="I18" s="634"/>
      <x:c r="J18" s="634"/>
      <x:c r="K18" s="634"/>
      <x:c r="L18" s="634" t="str">
        <x:v>O</x:v>
      </x:c>
      <x:c r="M18" s="634" t="str">
        <x:v>O</x:v>
      </x:c>
      <x:c r="N18" s="634"/>
      <x:c r="O18" s="634"/>
      <x:c r="P18" s="634"/>
      <x:c r="Q18" s="634"/>
      <x:c r="R18" s="634"/>
      <x:c r="S18" s="634"/>
      <x:c r="T18" s="635"/>
      <x:c r="U18" s="230"/>
    </x:row>
    <x:row r="19" ht="13.5" hidden="0" customHeight="1">
      <x:c r="A19" s="162"/>
      <x:c r="B19" s="163"/>
      <x:c r="C19" s="164"/>
      <x:c r="D19" s="171" t="n">
        <x:v>29</x:v>
      </x:c>
      <x:c r="E19" s="171"/>
      <x:c r="F19" s="634"/>
      <x:c r="G19" s="634"/>
      <x:c r="H19" s="634"/>
      <x:c r="I19" s="634"/>
      <x:c r="J19" s="634"/>
      <x:c r="K19" s="634"/>
      <x:c r="L19" s="634"/>
      <x:c r="M19" s="634"/>
      <x:c r="N19" s="634" t="str">
        <x:v>O</x:v>
      </x:c>
      <x:c r="O19" s="634" t="str">
        <x:v>O</x:v>
      </x:c>
      <x:c r="P19" s="634" t="str">
        <x:v>O</x:v>
      </x:c>
      <x:c r="Q19" s="634" t="str">
        <x:v>O</x:v>
      </x:c>
      <x:c r="R19" s="634"/>
      <x:c r="S19" s="634"/>
      <x:c r="T19" s="635"/>
    </x:row>
    <x:row r="20" ht="13.5" hidden="0" customHeight="1">
      <x:c r="A20" s="162"/>
      <x:c r="B20" s="163" t="str">
        <x:v>Month</x:v>
      </x:c>
      <x:c r="C20" s="164"/>
      <x:c r="D20" s="165" t="str">
        <x:v>11 / 6</x:v>
      </x:c>
      <x:c r="E20" s="169"/>
      <x:c r="F20" s="634" t="str">
        <x:v>O</x:v>
      </x:c>
      <x:c r="G20" s="634" t="str">
        <x:v>O</x:v>
      </x:c>
      <x:c r="H20" s="634"/>
      <x:c r="I20" s="634"/>
      <x:c r="J20" s="634"/>
      <x:c r="K20" s="634"/>
      <x:c r="L20" s="634"/>
      <x:c r="M20" s="634"/>
      <x:c r="N20" s="634"/>
      <x:c r="O20" s="634"/>
      <x:c r="P20" s="634"/>
      <x:c r="Q20" s="634"/>
      <x:c r="R20" s="634"/>
      <x:c r="S20" s="634"/>
      <x:c r="T20" s="635"/>
    </x:row>
    <x:row r="21" ht="13.5" hidden="0" customHeight="1">
      <x:c r="A21" s="162"/>
      <x:c r="B21" s="163"/>
      <x:c r="C21" s="164"/>
      <x:c r="D21" s="165" t="n">
        <x:v>0</x:v>
      </x:c>
      <x:c r="E21" s="169"/>
      <x:c r="F21" s="634"/>
      <x:c r="G21" s="634"/>
      <x:c r="H21" s="634" t="str">
        <x:v>O</x:v>
      </x:c>
      <x:c r="I21" s="634"/>
      <x:c r="J21" s="634"/>
      <x:c r="K21" s="634"/>
      <x:c r="L21" s="634"/>
      <x:c r="M21" s="634"/>
      <x:c r="N21" s="634"/>
      <x:c r="O21" s="634"/>
      <x:c r="P21" s="634"/>
      <x:c r="Q21" s="634"/>
      <x:c r="R21" s="634"/>
      <x:c r="S21" s="634"/>
      <x:c r="T21" s="635"/>
    </x:row>
    <x:row r="22" ht="13.5" hidden="0" customHeight="1">
      <x:c r="A22" s="162"/>
      <x:c r="B22" s="163"/>
      <x:c r="C22" s="164"/>
      <x:c r="D22" s="165" t="n">
        <x:v>13</x:v>
      </x:c>
      <x:c r="E22" s="169"/>
      <x:c r="F22" s="634"/>
      <x:c r="G22" s="634"/>
      <x:c r="H22" s="634"/>
      <x:c r="I22" s="634" t="str">
        <x:v>O</x:v>
      </x:c>
      <x:c r="J22" s="634"/>
      <x:c r="K22" s="634"/>
      <x:c r="L22" s="634"/>
      <x:c r="M22" s="634"/>
      <x:c r="N22" s="634"/>
      <x:c r="O22" s="634"/>
      <x:c r="P22" s="634"/>
      <x:c r="Q22" s="634"/>
      <x:c r="R22" s="634"/>
      <x:c r="S22" s="634"/>
      <x:c r="T22" s="635"/>
    </x:row>
    <x:row r="23" ht="13.5" hidden="0" customHeight="1">
      <x:c r="A23" s="162"/>
      <x:c r="B23" s="163"/>
      <x:c r="C23" s="164"/>
      <x:c r="D23" s="165" t="n">
        <x:v>1</x:v>
      </x:c>
      <x:c r="E23" s="169"/>
      <x:c r="F23" s="634"/>
      <x:c r="G23" s="634"/>
      <x:c r="H23" s="634"/>
      <x:c r="I23" s="634"/>
      <x:c r="J23" s="634" t="str">
        <x:v>O</x:v>
      </x:c>
      <x:c r="K23" s="634" t="str">
        <x:v>O</x:v>
      </x:c>
      <x:c r="L23" s="634" t="str">
        <x:v>O</x:v>
      </x:c>
      <x:c r="M23" s="634"/>
      <x:c r="N23" s="634"/>
      <x:c r="O23" s="634"/>
      <x:c r="P23" s="634"/>
      <x:c r="Q23" s="634"/>
      <x:c r="R23" s="634"/>
      <x:c r="S23" s="634"/>
      <x:c r="T23" s="635"/>
    </x:row>
    <x:row r="24" ht="13.5" hidden="0" customHeight="1">
      <x:c r="A24" s="162"/>
      <x:c r="B24" s="163"/>
      <x:c r="C24" s="164"/>
      <x:c r="D24" s="165" t="n">
        <x:v>4</x:v>
      </x:c>
      <x:c r="E24" s="169"/>
      <x:c r="F24" s="634"/>
      <x:c r="G24" s="634"/>
      <x:c r="H24" s="634"/>
      <x:c r="I24" s="634"/>
      <x:c r="J24" s="634"/>
      <x:c r="K24" s="634"/>
      <x:c r="L24" s="634"/>
      <x:c r="M24" s="634" t="str">
        <x:v>O</x:v>
      </x:c>
      <x:c r="N24" s="634"/>
      <x:c r="O24" s="634"/>
      <x:c r="P24" s="634"/>
      <x:c r="Q24" s="634"/>
      <x:c r="R24" s="634"/>
      <x:c r="S24" s="634"/>
      <x:c r="T24" s="635"/>
    </x:row>
    <x:row r="25" ht="13.5" hidden="0" customHeight="1">
      <x:c r="A25" s="162"/>
      <x:c r="B25" s="163"/>
      <x:c r="C25" s="164"/>
      <x:c r="D25" s="165" t="n">
        <x:v>2</x:v>
      </x:c>
      <x:c r="E25" s="169"/>
      <x:c r="F25" s="634"/>
      <x:c r="G25" s="634"/>
      <x:c r="H25" s="634"/>
      <x:c r="I25" s="634"/>
      <x:c r="J25" s="634"/>
      <x:c r="K25" s="634"/>
      <x:c r="L25" s="634"/>
      <x:c r="M25" s="634"/>
      <x:c r="N25" s="634" t="str">
        <x:v>O</x:v>
      </x:c>
      <x:c r="O25" s="634" t="str">
        <x:v>O</x:v>
      </x:c>
      <x:c r="P25" s="634" t="str">
        <x:v>O</x:v>
      </x:c>
      <x:c r="Q25" s="634" t="str">
        <x:v>O</x:v>
      </x:c>
      <x:c r="R25" s="634"/>
      <x:c r="S25" s="634"/>
      <x:c r="T25" s="635"/>
    </x:row>
    <x:row r="26" ht="13.5" hidden="0" customHeight="1">
      <x:c r="A26" s="162"/>
      <x:c r="B26" s="163" t="str">
        <x:v>Year</x:v>
      </x:c>
      <x:c r="C26" s="164"/>
      <x:c r="D26" s="165" t="n">
        <x:v>2006</x:v>
      </x:c>
      <x:c r="E26" s="169"/>
      <x:c r="F26" s="634" t="str">
        <x:v>O</x:v>
      </x:c>
      <x:c r="G26" s="634"/>
      <x:c r="H26" s="634"/>
      <x:c r="I26" s="634"/>
      <x:c r="J26" s="634"/>
      <x:c r="K26" s="634"/>
      <x:c r="L26" s="634"/>
      <x:c r="M26" s="634"/>
      <x:c r="N26" s="634"/>
      <x:c r="O26" s="634"/>
      <x:c r="P26" s="634"/>
      <x:c r="Q26" s="634"/>
      <x:c r="R26" s="634"/>
      <x:c r="S26" s="634"/>
      <x:c r="T26" s="635"/>
    </x:row>
    <x:row r="27" ht="13.5" hidden="0" customHeight="1">
      <x:c r="A27" s="162"/>
      <x:c r="B27" s="163"/>
      <x:c r="C27" s="164"/>
      <x:c r="D27" s="165" t="n">
        <x:v>2024</x:v>
      </x:c>
      <x:c r="E27" s="169"/>
      <x:c r="F27" s="634"/>
      <x:c r="G27" s="634" t="str">
        <x:v>O</x:v>
      </x:c>
      <x:c r="H27" s="634" t="str">
        <x:v>O</x:v>
      </x:c>
      <x:c r="I27" s="634" t="str">
        <x:v>O</x:v>
      </x:c>
      <x:c r="J27" s="634" t="str">
        <x:v>O</x:v>
      </x:c>
      <x:c r="K27" s="634" t="str">
        <x:v>O</x:v>
      </x:c>
      <x:c r="L27" s="634" t="str">
        <x:v>O</x:v>
      </x:c>
      <x:c r="M27" s="634" t="str">
        <x:v>O</x:v>
      </x:c>
      <x:c r="N27" s="634"/>
      <x:c r="O27" s="634"/>
      <x:c r="P27" s="634" t="str">
        <x:v>O</x:v>
      </x:c>
      <x:c r="Q27" s="634"/>
      <x:c r="R27" s="634"/>
      <x:c r="S27" s="634"/>
      <x:c r="T27" s="635"/>
    </x:row>
    <x:row r="28" ht="13.5" hidden="0" customHeight="1">
      <x:c r="A28" s="162"/>
      <x:c r="B28" s="163"/>
      <x:c r="C28" s="164"/>
      <x:c r="D28" s="165" t="n">
        <x:v>2000</x:v>
      </x:c>
      <x:c r="E28" s="169"/>
      <x:c r="F28" s="634"/>
      <x:c r="G28" s="634"/>
      <x:c r="H28" s="634"/>
      <x:c r="I28" s="634"/>
      <x:c r="J28" s="634"/>
      <x:c r="K28" s="634"/>
      <x:c r="L28" s="634"/>
      <x:c r="M28" s="634"/>
      <x:c r="N28" s="634" t="str">
        <x:v>O</x:v>
      </x:c>
      <x:c r="O28" s="634"/>
      <x:c r="P28" s="634"/>
      <x:c r="Q28" s="634"/>
      <x:c r="R28" s="634"/>
      <x:c r="S28" s="634"/>
      <x:c r="T28" s="635"/>
    </x:row>
    <x:row r="29" ht="13.5" hidden="0" customHeight="1">
      <x:c r="A29" s="162"/>
      <x:c r="B29" s="163"/>
      <x:c r="C29" s="164"/>
      <x:c r="D29" s="165" t="n">
        <x:v>1900</x:v>
      </x:c>
      <x:c r="E29" s="169"/>
      <x:c r="F29" s="634"/>
      <x:c r="G29" s="634"/>
      <x:c r="H29" s="634"/>
      <x:c r="I29" s="634"/>
      <x:c r="J29" s="634"/>
      <x:c r="K29" s="634"/>
      <x:c r="L29" s="634"/>
      <x:c r="M29" s="634"/>
      <x:c r="N29" s="634"/>
      <x:c r="O29" s="634" t="str">
        <x:v>O</x:v>
      </x:c>
      <x:c r="P29" s="634"/>
      <x:c r="Q29" s="634"/>
      <x:c r="R29" s="634"/>
      <x:c r="S29" s="634"/>
      <x:c r="T29" s="635"/>
    </x:row>
    <x:row r="30" ht="13.5" hidden="0" customHeight="1">
      <x:c r="A30" s="162"/>
      <x:c r="B30" s="172"/>
      <x:c r="C30" s="173"/>
      <x:c r="D30" s="174" t="n">
        <x:v>2023</x:v>
      </x:c>
      <x:c r="E30" s="175"/>
      <x:c r="F30" s="636"/>
      <x:c r="G30" s="636"/>
      <x:c r="H30" s="636"/>
      <x:c r="I30" s="636"/>
      <x:c r="J30" s="636"/>
      <x:c r="K30" s="636"/>
      <x:c r="L30" s="636"/>
      <x:c r="M30" s="636"/>
      <x:c r="N30" s="636"/>
      <x:c r="O30" s="636"/>
      <x:c r="P30" s="636"/>
      <x:c r="Q30" s="636" t="str">
        <x:v>O</x:v>
      </x:c>
      <x:c r="R30" s="636"/>
      <x:c r="S30" s="636"/>
      <x:c r="T30" s="637"/>
    </x:row>
    <x:row r="31" ht="13.5" hidden="0" customHeight="1">
      <x:c r="A31" s="178" t="str">
        <x:v>Confirm</x:v>
      </x:c>
      <x:c r="B31" s="179" t="str">
        <x:v>Return</x:v>
      </x:c>
      <x:c r="C31" s="180"/>
      <x:c r="D31" s="181"/>
      <x:c r="E31" s="182"/>
      <x:c r="F31" s="638"/>
      <x:c r="G31" s="638"/>
      <x:c r="H31" s="638"/>
      <x:c r="I31" s="638"/>
      <x:c r="J31" s="638"/>
      <x:c r="K31" s="638"/>
      <x:c r="L31" s="638"/>
      <x:c r="M31" s="638"/>
      <x:c r="N31" s="638"/>
      <x:c r="O31" s="638"/>
      <x:c r="P31" s="638"/>
      <x:c r="Q31" s="638"/>
      <x:c r="R31" s="638"/>
      <x:c r="S31" s="638"/>
      <x:c r="T31" s="639"/>
    </x:row>
    <x:row r="32" ht="13.5" hidden="0" customHeight="1">
      <x:c r="A32" s="183"/>
      <x:c r="B32" s="184"/>
      <x:c r="C32" s="185"/>
      <x:c r="D32" s="186" t="str">
        <x:v>T</x:v>
      </x:c>
      <x:c r="E32" s="187"/>
      <x:c r="F32" s="634" t="str">
        <x:v>O</x:v>
      </x:c>
      <x:c r="G32" s="634" t="str">
        <x:v>O</x:v>
      </x:c>
      <x:c r="H32" s="634"/>
      <x:c r="I32" s="634"/>
      <x:c r="J32" s="634"/>
      <x:c r="K32" s="634" t="str">
        <x:v>O</x:v>
      </x:c>
      <x:c r="L32" s="634" t="str">
        <x:v>O</x:v>
      </x:c>
      <x:c r="M32" s="634"/>
      <x:c r="N32" s="634" t="str">
        <x:v>O</x:v>
      </x:c>
      <x:c r="O32" s="634"/>
      <x:c r="P32" s="634" t="str">
        <x:v>O</x:v>
      </x:c>
      <x:c r="Q32" s="634"/>
      <x:c r="R32" s="634"/>
      <x:c r="S32" s="634"/>
      <x:c r="T32" s="635"/>
    </x:row>
    <x:row r="33" ht="13.5" hidden="0" customHeight="1">
      <x:c r="A33" s="183"/>
      <x:c r="B33" s="184"/>
      <x:c r="C33" s="235"/>
      <x:c r="D33" s="186" t="str">
        <x:v>F</x:v>
      </x:c>
      <x:c r="E33" s="189"/>
      <x:c r="F33" s="634"/>
      <x:c r="G33" s="634"/>
      <x:c r="H33" s="634" t="str">
        <x:v>O</x:v>
      </x:c>
      <x:c r="I33" s="634" t="str">
        <x:v>O</x:v>
      </x:c>
      <x:c r="J33" s="634" t="str">
        <x:v>O</x:v>
      </x:c>
      <x:c r="K33" s="634"/>
      <x:c r="L33" s="634"/>
      <x:c r="M33" s="634" t="str">
        <x:v>O</x:v>
      </x:c>
      <x:c r="N33" s="634"/>
      <x:c r="O33" s="634" t="str">
        <x:v>O</x:v>
      </x:c>
      <x:c r="P33" s="634"/>
      <x:c r="Q33" s="634" t="str">
        <x:v>O</x:v>
      </x:c>
      <x:c r="R33" s="634"/>
      <x:c r="S33" s="634"/>
      <x:c r="T33" s="635"/>
    </x:row>
    <x:row r="34" ht="13.5" hidden="0" customHeight="1">
      <x:c r="A34" s="183"/>
      <x:c r="B34" s="184"/>
      <x:c r="C34" s="235"/>
      <x:c r="D34" s="186"/>
      <x:c r="E34" s="189"/>
      <x:c r="F34" s="634"/>
      <x:c r="G34" s="634"/>
      <x:c r="H34" s="634"/>
      <x:c r="I34" s="634"/>
      <x:c r="J34" s="634"/>
      <x:c r="K34" s="634"/>
      <x:c r="L34" s="634"/>
      <x:c r="M34" s="634"/>
      <x:c r="N34" s="634"/>
      <x:c r="O34" s="634"/>
      <x:c r="P34" s="634"/>
      <x:c r="Q34" s="634"/>
      <x:c r="R34" s="634"/>
      <x:c r="S34" s="634"/>
      <x:c r="T34" s="635"/>
    </x:row>
    <x:row r="35" ht="13.5" hidden="0" customHeight="1">
      <x:c r="A35" s="183"/>
      <x:c r="B35" s="184"/>
      <x:c r="C35" s="235"/>
      <x:c r="D35" s="186"/>
      <x:c r="E35" s="189"/>
      <x:c r="F35" s="634"/>
      <x:c r="G35" s="634"/>
      <x:c r="H35" s="634"/>
      <x:c r="I35" s="634"/>
      <x:c r="J35" s="634"/>
      <x:c r="K35" s="634"/>
      <x:c r="L35" s="634"/>
      <x:c r="M35" s="634"/>
      <x:c r="N35" s="634"/>
      <x:c r="O35" s="634"/>
      <x:c r="P35" s="634"/>
      <x:c r="Q35" s="634"/>
      <x:c r="R35" s="634"/>
      <x:c r="S35" s="634"/>
      <x:c r="T35" s="635"/>
    </x:row>
    <x:row r="36" ht="13.5" hidden="0" customHeight="1">
      <x:c r="A36" s="183"/>
      <x:c r="B36" s="184"/>
      <x:c r="C36" s="235"/>
      <x:c r="D36" s="186"/>
      <x:c r="E36" s="189"/>
      <x:c r="F36" s="634"/>
      <x:c r="G36" s="634"/>
      <x:c r="H36" s="634"/>
      <x:c r="I36" s="634"/>
      <x:c r="J36" s="634"/>
      <x:c r="K36" s="634"/>
      <x:c r="L36" s="634"/>
      <x:c r="M36" s="634"/>
      <x:c r="N36" s="634"/>
      <x:c r="O36" s="634"/>
      <x:c r="P36" s="634"/>
      <x:c r="Q36" s="634"/>
      <x:c r="R36" s="634"/>
      <x:c r="S36" s="634"/>
      <x:c r="T36" s="635"/>
    </x:row>
    <x:row r="37" ht="13.5" hidden="0" customHeight="1">
      <x:c r="A37" s="183"/>
      <x:c r="B37" s="184"/>
      <x:c r="C37" s="235"/>
      <x:c r="D37" s="186"/>
      <x:c r="E37" s="189"/>
      <x:c r="F37" s="634"/>
      <x:c r="G37" s="634"/>
      <x:c r="H37" s="634"/>
      <x:c r="I37" s="634"/>
      <x:c r="J37" s="634"/>
      <x:c r="K37" s="634"/>
      <x:c r="L37" s="634"/>
      <x:c r="M37" s="634"/>
      <x:c r="N37" s="634"/>
      <x:c r="O37" s="634"/>
      <x:c r="P37" s="634"/>
      <x:c r="Q37" s="634"/>
      <x:c r="R37" s="634"/>
      <x:c r="S37" s="634"/>
      <x:c r="T37" s="635"/>
    </x:row>
    <x:row r="38" ht="13.5" hidden="0" customHeight="1">
      <x:c r="A38" s="183"/>
      <x:c r="B38" s="190"/>
      <x:c r="C38" s="191"/>
      <x:c r="D38" s="192"/>
      <x:c r="E38" s="193"/>
      <x:c r="F38" s="640"/>
      <x:c r="G38" s="640"/>
      <x:c r="H38" s="640"/>
      <x:c r="I38" s="640"/>
      <x:c r="J38" s="640"/>
      <x:c r="K38" s="640"/>
      <x:c r="L38" s="640"/>
      <x:c r="M38" s="640"/>
      <x:c r="N38" s="640"/>
      <x:c r="O38" s="640"/>
      <x:c r="P38" s="640"/>
      <x:c r="Q38" s="640"/>
      <x:c r="R38" s="640"/>
      <x:c r="S38" s="640"/>
      <x:c r="T38" s="641"/>
    </x:row>
    <x:row r="39" ht="13.5" hidden="0" customHeight="1">
      <x:c r="A39" s="178" t="str">
        <x:v>Result</x:v>
      </x:c>
      <x:c r="B39" s="196" t="str">
        <x:v>Type(N : Normal, A : Abnormal, B : Boundary)</x:v>
      </x:c>
      <x:c r="C39" s="196"/>
      <x:c r="D39" s="196"/>
      <x:c r="E39" s="196"/>
      <x:c r="F39" s="642" t="str">
        <x:v>N</x:v>
      </x:c>
      <x:c r="G39" s="642" t="str">
        <x:v>N</x:v>
      </x:c>
      <x:c r="H39" s="642" t="str">
        <x:v>A</x:v>
      </x:c>
      <x:c r="I39" s="642" t="str">
        <x:v>A</x:v>
      </x:c>
      <x:c r="J39" s="642" t="str">
        <x:v>A</x:v>
      </x:c>
      <x:c r="K39" s="642" t="str">
        <x:v>B</x:v>
      </x:c>
      <x:c r="L39" s="642" t="str">
        <x:v>B</x:v>
      </x:c>
      <x:c r="M39" s="642" t="str">
        <x:v>B</x:v>
      </x:c>
      <x:c r="N39" s="642" t="str">
        <x:v>B</x:v>
      </x:c>
      <x:c r="O39" s="642" t="str">
        <x:v>B</x:v>
      </x:c>
      <x:c r="P39" s="642" t="str">
        <x:v>B</x:v>
      </x:c>
      <x:c r="Q39" s="642" t="str">
        <x:v>B</x:v>
      </x:c>
      <x:c r="R39" s="642"/>
      <x:c r="S39" s="642"/>
      <x:c r="T39" s="643"/>
    </x:row>
    <x:row r="40" ht="13.5" hidden="0" customHeight="1">
      <x:c r="A40" s="183"/>
      <x:c r="B40" s="199" t="str">
        <x:v>Passed/Failed</x:v>
      </x:c>
      <x:c r="C40" s="199"/>
      <x:c r="D40" s="199"/>
      <x:c r="E40" s="200"/>
      <x:c r="F40" s="644"/>
      <x:c r="G40" s="644"/>
      <x:c r="H40" s="644"/>
      <x:c r="I40" s="644"/>
      <x:c r="J40" s="644"/>
      <x:c r="K40" s="644"/>
      <x:c r="L40" s="644"/>
      <x:c r="M40" s="644"/>
      <x:c r="N40" s="644"/>
      <x:c r="O40" s="644"/>
      <x:c r="P40" s="644"/>
      <x:c r="Q40" s="644"/>
      <x:c r="R40" s="644"/>
      <x:c r="S40" s="644"/>
      <x:c r="T40" s="645"/>
    </x:row>
    <x:row r="41" ht="13.5" hidden="0" customHeight="1">
      <x:c r="A41" s="183"/>
      <x:c r="B41" s="203" t="str">
        <x:v>Executed Date</x:v>
      </x:c>
      <x:c r="C41" s="203"/>
      <x:c r="D41" s="203"/>
      <x:c r="E41" s="204"/>
      <x:c r="F41" s="610"/>
      <x:c r="G41" s="610"/>
      <x:c r="H41" s="610"/>
      <x:c r="I41" s="610"/>
      <x:c r="J41" s="610"/>
      <x:c r="K41" s="610"/>
      <x:c r="L41" s="610"/>
      <x:c r="M41" s="610"/>
      <x:c r="N41" s="610"/>
      <x:c r="O41" s="610"/>
      <x:c r="P41" s="610"/>
      <x:c r="Q41" s="610"/>
      <x:c r="R41" s="610"/>
      <x:c r="S41" s="610"/>
      <x:c r="T41" s="611"/>
    </x:row>
    <x:row r="42" ht="75.75" hidden="0" customHeight="1">
      <x:c r="A42" s="207"/>
      <x:c r="B42" s="208" t="str">
        <x:v>Defect ID</x:v>
      </x:c>
      <x:c r="C42" s="208"/>
      <x:c r="D42" s="208"/>
      <x:c r="E42" s="209"/>
      <x:c r="F42" s="612"/>
      <x:c r="G42" s="612"/>
      <x:c r="H42" s="612"/>
      <x:c r="I42" s="612"/>
      <x:c r="J42" s="612"/>
      <x:c r="K42" s="612"/>
      <x:c r="L42" s="612"/>
      <x:c r="M42" s="612"/>
      <x:c r="N42" s="612"/>
      <x:c r="O42" s="612"/>
      <x:c r="P42" s="612"/>
      <x:c r="Q42" s="612"/>
      <x:c r="R42" s="612"/>
      <x:c r="S42" s="612"/>
      <x:c r="T42" s="613"/>
    </x:row>
    <x:row r="43" ht="11.25" hidden="0" customHeight="1">
      <x:c r="A43" s="118"/>
      <x:c r="B43" s="117"/>
      <x:c r="C43" s="119"/>
      <x:c r="D43" s="117"/>
    </x:row>
  </x:sheetData>
  <x:mergeCells>
    <x:mergeCell ref="A2:B2"/>
    <x:mergeCell ref="C2:D2"/>
    <x:mergeCell ref="F2:K2"/>
    <x:mergeCell ref="L2:T2"/>
    <x:mergeCell ref="A3:B3"/>
    <x:mergeCell ref="C3:E3"/>
    <x:mergeCell ref="F3:K3"/>
    <x:mergeCell ref="L3:N3"/>
    <x:mergeCell ref="A4:B4"/>
    <x:mergeCell ref="C4:D4"/>
    <x:mergeCell ref="F4:K4"/>
    <x:mergeCell ref="L4:T4"/>
    <x:mergeCell ref="A5:B5"/>
    <x:mergeCell ref="C5:T5"/>
    <x:mergeCell ref="A6:B6"/>
    <x:mergeCell ref="C6:E6"/>
    <x:mergeCell ref="F6:K6"/>
    <x:mergeCell ref="L6:N6"/>
    <x:mergeCell ref="O6:T6"/>
    <x:mergeCell ref="A7:B7"/>
    <x:mergeCell ref="C7:E7"/>
    <x:mergeCell ref="F7:K7"/>
    <x:mergeCell ref="O7:T7"/>
    <x:mergeCell ref="D19:E19"/>
    <x:mergeCell ref="B39:D39"/>
    <x:mergeCell ref="B40:D40"/>
    <x:mergeCell ref="B41:D41"/>
    <x:mergeCell ref="B42:D42"/>
  </x:mergeCells>
  <x:dataValidations count="3">
    <x:dataValidation type="list" errorStyle="stop" operator="between" allowBlank="1" showDropDown="0" showInputMessage="0" showErrorMessage="1" sqref="F39:T39">
      <x:formula1>"N,A,B,"</x:formula1>
      <x:formula2>0</x:formula2>
    </x:dataValidation>
    <x:dataValidation type="list" errorStyle="stop" operator="between" allowBlank="1" showDropDown="0" showInputMessage="0" showErrorMessage="1" sqref="F40:T40">
      <x:formula1>"P,F,"</x:formula1>
      <x:formula2>0</x:formula2>
    </x:dataValidation>
    <x:dataValidation type="list" errorStyle="stop" operator="between" allowBlank="1" showDropDown="0" showInputMessage="0" showErrorMessage="1" sqref="F10:T38">
      <x:formula1>"O,"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9582bc31f700487c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ColWidth="8.9921875" defaultRowHeight="13.5"/>
  <x:cols>
    <x:col min="1" max="1" width="6.739999771118164" style="242" hidden="0" customWidth="1"/>
    <x:col min="2" max="2" width="13.359999656677246" style="243" hidden="0" customWidth="1"/>
    <x:col min="3" max="3" width="10.739999771118164" style="242" hidden="0" customWidth="1"/>
    <x:col min="4" max="4" width="11.369999885559082" style="244" hidden="0" customWidth="1"/>
    <x:col min="5" max="5" width="1.75" style="242" hidden="1" customWidth="1"/>
    <x:col min="6" max="21" width="2.869999885559082" style="242" hidden="0" customWidth="1"/>
    <x:col min="22" max="257" width="8.989999771118164" style="242" hidden="0" customWidth="0"/>
  </x:cols>
  <x:sheetData>
    <x:row r="1" ht="13.5" hidden="0" customHeight="1">
      <x:c r="A1" s="245"/>
      <x:c r="B1" s="246"/>
    </x:row>
    <x:row r="2" ht="13.5" hidden="0" customHeight="1">
      <x:c r="A2" s="215" t="s">
        <x:v>80</x:v>
      </x:c>
      <x:c r="B2" s="215"/>
      <x:c r="C2" s="123" t="str">
        <x:f aca="0"/>
        <x:v>STATUS_RULES</x:v>
      </x:c>
      <x:c r="D2" s="123"/>
      <x:c r="E2"/>
      <x:c r="F2" s="217" t="str">
        <x:v>Function Name</x:v>
      </x:c>
      <x:c r="G2" s="217"/>
      <x:c r="H2" s="217"/>
      <x:c r="I2" s="217"/>
      <x:c r="J2" s="217"/>
      <x:c r="K2" s="217"/>
      <x:c r="L2" s="218" t="str">
        <x:f aca="0"/>
        <x:v>FeedbackStatusRules</x:v>
      </x:c>
      <x:c r="M2" s="218"/>
      <x:c r="N2" s="218"/>
      <x:c r="O2" s="218"/>
      <x:c r="P2" s="218"/>
      <x:c r="Q2" s="218"/>
      <x:c r="R2" s="218"/>
      <x:c r="S2" s="218"/>
      <x:c r="T2" s="218"/>
    </x:row>
    <x:row r="3" ht="13.5" hidden="0" customHeight="1">
      <x:c r="A3" s="247" t="s">
        <x:v>81</x:v>
      </x:c>
      <x:c r="B3" s="247"/>
      <x:c r="C3" s="248" t="str">
        <x:v>Tuan Như</x:v>
      </x:c>
      <x:c r="D3" s="248"/>
      <x:c r="E3" s="248"/>
      <x:c r="F3" s="249" t="str">
        <x:v>Executed By</x:v>
      </x:c>
      <x:c r="G3" s="249"/>
      <x:c r="H3" s="249"/>
      <x:c r="I3" s="249"/>
      <x:c r="J3" s="249"/>
      <x:c r="K3" s="249"/>
      <x:c r="L3" s="250" t="str">
        <x:v>Not executed yet</x:v>
      </x:c>
      <x:c r="M3" s="250"/>
      <x:c r="N3" s="250"/>
      <x:c r="O3" s="251"/>
      <x:c r="P3" s="251"/>
      <x:c r="Q3" s="251"/>
      <x:c r="R3" s="251"/>
      <x:c r="S3" s="251"/>
      <x:c r="T3" s="252"/>
    </x:row>
    <x:row r="4" ht="13.5" hidden="0" customHeight="1">
      <x:c r="A4" s="247" t="s">
        <x:v>82</x:v>
      </x:c>
      <x:c r="B4" s="247"/>
      <x:c r="C4" s="253" t="str">
        <x:v>N/A</x:v>
      </x:c>
      <x:c r="D4" s="253"/>
      <x:c r="E4" s="254"/>
      <x:c r="F4" s="249" t="str">
        <x:v>Lack of test cases</x:v>
      </x:c>
      <x:c r="G4" s="249"/>
      <x:c r="H4" s="249"/>
      <x:c r="I4" s="249"/>
      <x:c r="J4" s="249"/>
      <x:c r="K4" s="249"/>
      <x:c r="L4" s="255" t="str">
        <x:f aca="0"/>
        <x:v>N/A</x:v>
      </x:c>
      <x:c r="M4" s="255"/>
      <x:c r="N4" s="255"/>
      <x:c r="O4" s="255"/>
      <x:c r="P4" s="255"/>
      <x:c r="Q4" s="255"/>
      <x:c r="R4" s="255"/>
      <x:c r="S4" s="255"/>
      <x:c r="T4" s="255"/>
      <x:c r="V4" s="256"/>
    </x:row>
    <x:row r="5" ht="13.5" hidden="0" customHeight="1">
      <x:c r="A5" s="247" t="s">
        <x:v>83</x:v>
      </x:c>
      <x:c r="B5" s="247"/>
      <x:c r="C5" s="583" t="str">
        <x:v>Verify V1 feedback status-transition rules, terminal-state behavior, and whether the Closed status requires a reason.</x:v>
      </x:c>
      <x:c r="D5" s="583"/>
      <x:c r="E5" s="583"/>
      <x:c r="F5" s="583"/>
      <x:c r="G5" s="583"/>
      <x:c r="H5" s="583"/>
      <x:c r="I5" s="583"/>
      <x:c r="J5" s="583"/>
      <x:c r="K5" s="583"/>
      <x:c r="L5" s="583"/>
      <x:c r="M5" s="583"/>
      <x:c r="N5" s="583"/>
      <x:c r="O5" s="583"/>
      <x:c r="P5" s="583"/>
      <x:c r="Q5" s="583"/>
      <x:c r="R5" s="583"/>
      <x:c r="S5" s="583"/>
      <x:c r="T5" s="583"/>
    </x:row>
    <x:row r="6" ht="13.5" hidden="0" customHeight="1">
      <x:c r="A6" s="258" t="s">
        <x:v>73</x:v>
      </x:c>
      <x:c r="B6" s="258"/>
      <x:c r="C6" s="259" t="str">
        <x:v>Failed</x:v>
      </x:c>
      <x:c r="D6" s="259"/>
      <x:c r="E6" s="259"/>
      <x:c r="F6" s="259" t="str">
        <x:v>Untested</x:v>
      </x:c>
      <x:c r="G6" s="259"/>
      <x:c r="H6" s="259"/>
      <x:c r="I6" s="259"/>
      <x:c r="J6" s="259"/>
      <x:c r="K6" s="259"/>
      <x:c r="L6" s="260" t="str">
        <x:v>N/A/B</x:v>
      </x:c>
      <x:c r="M6" s="260"/>
      <x:c r="N6" s="260"/>
      <x:c r="O6" s="261" t="str">
        <x:v>Total Test Cases</x:v>
      </x:c>
      <x:c r="P6" s="261"/>
      <x:c r="Q6" s="261"/>
      <x:c r="R6" s="261"/>
      <x:c r="S6" s="261"/>
      <x:c r="T6" s="261"/>
      <x:c r="V6" s="256"/>
    </x:row>
    <x:row r="7" ht="13.5" hidden="0" customHeight="1">
      <x:c r="A7" s="262" t="n">
        <x:f aca="0">COUNTIF(F40:T40,"P")</x:f>
        <x:v>0</x:v>
      </x:c>
      <x:c r="B7" s="262"/>
      <x:c r="C7" s="263" t="n">
        <x:f aca="0">COUNTIF(F40:T40,"F")</x:f>
        <x:v>0</x:v>
      </x:c>
      <x:c r="D7" s="263"/>
      <x:c r="E7" s="263"/>
      <x:c r="F7" s="263" t="n">
        <x:f aca="0">O7-A7-C7</x:f>
        <x:v>15</x:v>
      </x:c>
      <x:c r="G7" s="263"/>
      <x:c r="H7" s="263"/>
      <x:c r="I7" s="263"/>
      <x:c r="J7" s="263"/>
      <x:c r="K7" s="263"/>
      <x:c r="L7" s="264" t="n">
        <x:f aca="0">COUNTIF(F39:T39,"N")</x:f>
        <x:v>5</x:v>
      </x:c>
      <x:c r="M7" s="264" t="n">
        <x:f aca="0">COUNTIF(F39:T39,"A")</x:f>
        <x:v>6</x:v>
      </x:c>
      <x:c r="N7" s="264" t="n">
        <x:f aca="0">COUNTIF(F39:T39,"B")</x:f>
        <x:v>4</x:v>
      </x:c>
      <x:c r="O7" s="265" t="n">
        <x:f aca="0">COUNTA(F9:T9)</x:f>
        <x:v>15</x:v>
      </x:c>
      <x:c r="P7" s="265"/>
      <x:c r="Q7" s="265"/>
      <x:c r="R7" s="265"/>
      <x:c r="S7" s="265"/>
      <x:c r="T7" s="265"/>
      <x:c r="U7" s="266"/>
    </x:row>
    <x:row r="8" ht="11.25" hidden="0" customHeight="1"/>
    <x:row r="9" ht="46.5" hidden="0" customHeight="1">
      <x:c r="A9" s="267"/>
      <x:c r="B9" s="268"/>
      <x:c r="C9" s="269"/>
      <x:c r="D9" s="270"/>
      <x:c r="E9" s="269"/>
      <x:c r="F9" s="648" t="str">
        <x:v>UTCID01</x:v>
      </x:c>
      <x:c r="G9" s="648" t="str">
        <x:v>UTCID02</x:v>
      </x:c>
      <x:c r="H9" s="648" t="str">
        <x:v>UTCID03</x:v>
      </x:c>
      <x:c r="I9" s="648" t="str">
        <x:v>UTCID04</x:v>
      </x:c>
      <x:c r="J9" s="648" t="str">
        <x:v>UTCID05</x:v>
      </x:c>
      <x:c r="K9" s="648" t="str">
        <x:v>UTCID06</x:v>
      </x:c>
      <x:c r="L9" s="648" t="str">
        <x:v>UTCID07</x:v>
      </x:c>
      <x:c r="M9" s="648" t="str">
        <x:v>UTCID08</x:v>
      </x:c>
      <x:c r="N9" s="648" t="str">
        <x:v>UTCID09</x:v>
      </x:c>
      <x:c r="O9" s="648" t="str">
        <x:v>UTCID10</x:v>
      </x:c>
      <x:c r="P9" s="648" t="str">
        <x:v>UTCID11</x:v>
      </x:c>
      <x:c r="Q9" s="648" t="str">
        <x:v>UTCID12</x:v>
      </x:c>
      <x:c r="R9" s="648" t="str">
        <x:v>UTCID13</x:v>
      </x:c>
      <x:c r="S9" s="648" t="str">
        <x:v>UTCID14</x:v>
      </x:c>
      <x:c r="T9" s="649" t="str">
        <x:v>UTCID15</x:v>
      </x:c>
      <x:c r="U9" s="273"/>
      <x:c r="V9" s="274"/>
      <x:c r="W9" s="245"/>
    </x:row>
    <x:row r="10" ht="13.5" hidden="0" customHeight="1">
      <x:c r="A10" s="275" t="s">
        <x:v>84</x:v>
      </x:c>
      <x:c r="B10" s="620" t="str">
        <x:v>Precondition</x:v>
      </x:c>
      <x:c r="C10" s="621"/>
      <x:c r="D10" s="622" t="str">
        <x:v>CFMS.Domain.Enums.FeedbackStatus and CFMS.Domain.Rules.FeedbackStatusRules are available. Execution/result rows stay blank until the unit tests are run.</x:v>
      </x:c>
      <x:c r="E10" s="623"/>
      <x:c r="F10" s="624"/>
      <x:c r="G10" s="624"/>
      <x:c r="H10" s="624"/>
      <x:c r="I10" s="624"/>
      <x:c r="J10" s="624"/>
      <x:c r="K10" s="624"/>
      <x:c r="L10" s="624"/>
      <x:c r="M10" s="624"/>
      <x:c r="N10" s="624"/>
      <x:c r="O10" s="624"/>
      <x:c r="P10" s="624"/>
      <x:c r="Q10" s="624"/>
      <x:c r="R10" s="624"/>
      <x:c r="S10" s="624"/>
      <x:c r="T10" s="625"/>
    </x:row>
    <x:row r="11" ht="13.5" hidden="0" customHeight="1">
      <x:c r="A11" s="282"/>
      <x:c r="B11" s="276"/>
      <x:c r="C11" s="277"/>
      <x:c r="D11" s="278"/>
      <x:c r="E11" s="283"/>
      <x:c r="F11" s="634"/>
      <x:c r="G11" s="634"/>
      <x:c r="H11" s="634"/>
      <x:c r="I11" s="634"/>
      <x:c r="J11" s="634"/>
      <x:c r="K11" s="634"/>
      <x:c r="L11" s="634"/>
      <x:c r="M11" s="634"/>
      <x:c r="N11" s="634"/>
      <x:c r="O11" s="634"/>
      <x:c r="P11" s="634"/>
      <x:c r="Q11" s="634"/>
      <x:c r="R11" s="634"/>
      <x:c r="S11" s="634"/>
      <x:c r="T11" s="635"/>
      <x:c r="V11" s="256"/>
    </x:row>
    <x:row r="12" ht="13.5" hidden="0" customHeight="1">
      <x:c r="A12" s="282"/>
      <x:c r="B12" s="276"/>
      <x:c r="C12" s="277"/>
      <x:c r="D12" s="278"/>
      <x:c r="E12" s="283"/>
      <x:c r="F12" s="634"/>
      <x:c r="G12" s="634"/>
      <x:c r="H12" s="634"/>
      <x:c r="I12" s="634"/>
      <x:c r="J12" s="634"/>
      <x:c r="K12" s="634"/>
      <x:c r="L12" s="634"/>
      <x:c r="M12" s="634"/>
      <x:c r="N12" s="634"/>
      <x:c r="O12" s="634"/>
      <x:c r="P12" s="634"/>
      <x:c r="Q12" s="634"/>
      <x:c r="R12" s="634"/>
      <x:c r="S12" s="634"/>
      <x:c r="T12" s="635"/>
    </x:row>
    <x:row r="13" ht="13.5" hidden="0" customHeight="1">
      <x:c r="A13" s="282"/>
      <x:c r="B13" s="276"/>
      <x:c r="C13" s="277"/>
      <x:c r="D13" s="278"/>
      <x:c r="E13" s="284"/>
      <x:c r="F13" s="634"/>
      <x:c r="G13" s="634"/>
      <x:c r="H13" s="634"/>
      <x:c r="I13" s="634"/>
      <x:c r="J13" s="634"/>
      <x:c r="K13" s="634"/>
      <x:c r="L13" s="634"/>
      <x:c r="M13" s="634"/>
      <x:c r="N13" s="634"/>
      <x:c r="O13" s="634"/>
      <x:c r="P13" s="634"/>
      <x:c r="Q13" s="634"/>
      <x:c r="R13" s="634"/>
      <x:c r="S13" s="634"/>
      <x:c r="T13" s="635"/>
    </x:row>
    <x:row r="14" ht="13.5" hidden="0" customHeight="1">
      <x:c r="A14" s="282"/>
      <x:c r="B14" s="276" t="str">
        <x:v>Method</x:v>
      </x:c>
      <x:c r="C14" s="277"/>
      <x:c r="D14" s="278"/>
      <x:c r="E14" s="285"/>
      <x:c r="F14" s="634"/>
      <x:c r="G14" s="634"/>
      <x:c r="H14" s="634"/>
      <x:c r="I14" s="634"/>
      <x:c r="J14" s="634"/>
      <x:c r="K14" s="634"/>
      <x:c r="L14" s="634"/>
      <x:c r="M14" s="634"/>
      <x:c r="N14" s="634"/>
      <x:c r="O14" s="634"/>
      <x:c r="P14" s="634"/>
      <x:c r="Q14" s="634"/>
      <x:c r="R14" s="634"/>
      <x:c r="S14" s="634"/>
      <x:c r="T14" s="635"/>
    </x:row>
    <x:row r="15" ht="13.5" hidden="0" customHeight="1">
      <x:c r="A15" s="282"/>
      <x:c r="B15" s="276"/>
      <x:c r="C15" s="277"/>
      <x:c r="D15" s="278" t="str">
        <x:v>IsTransitionAllowed</x:v>
      </x:c>
      <x:c r="E15" s="285"/>
      <x:c r="F15" s="634" t="str">
        <x:v>O</x:v>
      </x:c>
      <x:c r="G15" s="634" t="str">
        <x:v>O</x:v>
      </x:c>
      <x:c r="H15" s="634" t="str">
        <x:v>O</x:v>
      </x:c>
      <x:c r="I15" s="634" t="str">
        <x:v>O</x:v>
      </x:c>
      <x:c r="J15" s="634" t="str">
        <x:v>O</x:v>
      </x:c>
      <x:c r="K15" s="634" t="str">
        <x:v>O</x:v>
      </x:c>
      <x:c r="L15" s="634" t="str">
        <x:v>O</x:v>
      </x:c>
      <x:c r="M15" s="634" t="str">
        <x:v>O</x:v>
      </x:c>
      <x:c r="N15" s="634" t="str">
        <x:v>O</x:v>
      </x:c>
      <x:c r="O15" s="634" t="str">
        <x:v>O</x:v>
      </x:c>
      <x:c r="P15" s="634" t="str">
        <x:v>O</x:v>
      </x:c>
      <x:c r="Q15" s="634"/>
      <x:c r="R15" s="634"/>
      <x:c r="S15" s="634"/>
      <x:c r="T15" s="635"/>
      <x:c r="W15" s="256"/>
    </x:row>
    <x:row r="16" ht="13.5" hidden="0" customHeight="1">
      <x:c r="A16" s="282"/>
      <x:c r="B16" s="276"/>
      <x:c r="C16" s="277"/>
      <x:c r="D16" s="278" t="str">
        <x:v>GetAllowedTransitions</x:v>
      </x:c>
      <x:c r="E16" s="285"/>
      <x:c r="F16" s="634"/>
      <x:c r="G16" s="634"/>
      <x:c r="H16" s="634"/>
      <x:c r="I16" s="634"/>
      <x:c r="J16" s="634"/>
      <x:c r="K16" s="634"/>
      <x:c r="L16" s="634"/>
      <x:c r="M16" s="634"/>
      <x:c r="N16" s="634"/>
      <x:c r="O16" s="634"/>
      <x:c r="P16" s="634"/>
      <x:c r="Q16" s="634" t="str">
        <x:v>O</x:v>
      </x:c>
      <x:c r="R16" s="634"/>
      <x:c r="S16" s="634"/>
      <x:c r="T16" s="635"/>
    </x:row>
    <x:row r="17" ht="13.5" hidden="0" customHeight="1">
      <x:c r="A17" s="282"/>
      <x:c r="B17" s="276"/>
      <x:c r="C17" s="277"/>
      <x:c r="D17" s="278" t="str">
        <x:v>RequiresReason</x:v>
      </x:c>
      <x:c r="E17" s="285"/>
      <x:c r="F17" s="634"/>
      <x:c r="G17" s="634"/>
      <x:c r="H17" s="634"/>
      <x:c r="I17" s="634"/>
      <x:c r="J17" s="634"/>
      <x:c r="K17" s="634"/>
      <x:c r="L17" s="634"/>
      <x:c r="M17" s="634"/>
      <x:c r="N17" s="634"/>
      <x:c r="O17" s="634"/>
      <x:c r="P17" s="634"/>
      <x:c r="Q17" s="634"/>
      <x:c r="R17" s="634" t="str">
        <x:v>O</x:v>
      </x:c>
      <x:c r="S17" s="634" t="str">
        <x:v>O</x:v>
      </x:c>
      <x:c r="T17" s="635" t="str">
        <x:v>O</x:v>
      </x:c>
      <x:c r="U17" s="286"/>
    </x:row>
    <x:row r="18" ht="13.5" hidden="0" customHeight="1">
      <x:c r="A18" s="282"/>
      <x:c r="B18" s="276"/>
      <x:c r="C18" s="277"/>
      <x:c r="D18" s="278"/>
      <x:c r="E18" s="285"/>
      <x:c r="F18" s="634"/>
      <x:c r="G18" s="634"/>
      <x:c r="H18" s="634"/>
      <x:c r="I18" s="634"/>
      <x:c r="J18" s="634"/>
      <x:c r="K18" s="634"/>
      <x:c r="L18" s="634"/>
      <x:c r="M18" s="634"/>
      <x:c r="N18" s="634"/>
      <x:c r="O18" s="634"/>
      <x:c r="P18" s="634"/>
      <x:c r="Q18" s="634"/>
      <x:c r="R18" s="634"/>
      <x:c r="S18" s="634"/>
      <x:c r="T18" s="635"/>
      <x:c r="U18" s="286"/>
    </x:row>
    <x:row r="19" ht="13.5" hidden="0" customHeight="1">
      <x:c r="A19" s="282"/>
      <x:c r="B19" s="276" t="str">
        <x:v>From / Status</x:v>
      </x:c>
      <x:c r="C19" s="277"/>
      <x:c r="D19" s="287"/>
      <x:c r="E19" s="287"/>
      <x:c r="F19" s="634"/>
      <x:c r="G19" s="634"/>
      <x:c r="H19" s="634"/>
      <x:c r="I19" s="634"/>
      <x:c r="J19" s="634"/>
      <x:c r="K19" s="634"/>
      <x:c r="L19" s="634"/>
      <x:c r="M19" s="634"/>
      <x:c r="N19" s="634"/>
      <x:c r="O19" s="634"/>
      <x:c r="P19" s="634"/>
      <x:c r="Q19" s="634"/>
      <x:c r="R19" s="634"/>
      <x:c r="S19" s="634"/>
      <x:c r="T19" s="635"/>
    </x:row>
    <x:row r="20" ht="13.5" hidden="0" customHeight="1">
      <x:c r="A20" s="282"/>
      <x:c r="B20" s="276"/>
      <x:c r="C20" s="277"/>
      <x:c r="D20" s="278" t="str">
        <x:v>Submitted</x:v>
      </x:c>
      <x:c r="E20" s="285"/>
      <x:c r="F20" s="634" t="str">
        <x:v>O</x:v>
      </x:c>
      <x:c r="G20" s="634" t="str">
        <x:v>O</x:v>
      </x:c>
      <x:c r="H20" s="634" t="str">
        <x:v>O</x:v>
      </x:c>
      <x:c r="I20" s="634"/>
      <x:c r="J20" s="634"/>
      <x:c r="K20" s="634"/>
      <x:c r="L20" s="634"/>
      <x:c r="M20" s="634"/>
      <x:c r="N20" s="634"/>
      <x:c r="O20" s="634"/>
      <x:c r="P20" s="634"/>
      <x:c r="Q20" s="634"/>
      <x:c r="R20" s="634"/>
      <x:c r="S20" s="634"/>
      <x:c r="T20" s="635"/>
    </x:row>
    <x:row r="21" ht="13.5" hidden="0" customHeight="1">
      <x:c r="A21" s="282"/>
      <x:c r="B21" s="276"/>
      <x:c r="C21" s="277"/>
      <x:c r="D21" s="278" t="str">
        <x:v>Assigned</x:v>
      </x:c>
      <x:c r="E21" s="285"/>
      <x:c r="F21" s="634"/>
      <x:c r="G21" s="634"/>
      <x:c r="H21" s="634"/>
      <x:c r="I21" s="634" t="str">
        <x:v>O</x:v>
      </x:c>
      <x:c r="J21" s="634" t="str">
        <x:v>O</x:v>
      </x:c>
      <x:c r="K21" s="634"/>
      <x:c r="L21" s="634"/>
      <x:c r="M21" s="634"/>
      <x:c r="N21" s="634"/>
      <x:c r="O21" s="634"/>
      <x:c r="P21" s="634"/>
      <x:c r="Q21" s="634"/>
      <x:c r="R21" s="634"/>
      <x:c r="S21" s="634"/>
      <x:c r="T21" s="635" t="str">
        <x:v>O</x:v>
      </x:c>
    </x:row>
    <x:row r="22" ht="13.5" hidden="0" customHeight="1">
      <x:c r="A22" s="282"/>
      <x:c r="B22" s="276"/>
      <x:c r="C22" s="277"/>
      <x:c r="D22" s="278" t="str">
        <x:v>InProgress</x:v>
      </x:c>
      <x:c r="E22" s="285"/>
      <x:c r="F22" s="634"/>
      <x:c r="G22" s="634"/>
      <x:c r="H22" s="634"/>
      <x:c r="I22" s="634"/>
      <x:c r="J22" s="634"/>
      <x:c r="K22" s="634" t="str">
        <x:v>O</x:v>
      </x:c>
      <x:c r="L22" s="634" t="str">
        <x:v>O</x:v>
      </x:c>
      <x:c r="M22" s="634"/>
      <x:c r="N22" s="634"/>
      <x:c r="O22" s="634"/>
      <x:c r="P22" s="634"/>
      <x:c r="Q22" s="634"/>
      <x:c r="R22" s="634"/>
      <x:c r="S22" s="634"/>
      <x:c r="T22" s="635"/>
    </x:row>
    <x:row r="23" ht="13.5" hidden="0" customHeight="1">
      <x:c r="A23" s="282"/>
      <x:c r="B23" s="276"/>
      <x:c r="C23" s="277"/>
      <x:c r="D23" s="278" t="str">
        <x:v>Resolved</x:v>
      </x:c>
      <x:c r="E23" s="285"/>
      <x:c r="F23" s="634"/>
      <x:c r="G23" s="634"/>
      <x:c r="H23" s="634"/>
      <x:c r="I23" s="634"/>
      <x:c r="J23" s="634"/>
      <x:c r="K23" s="634"/>
      <x:c r="L23" s="634"/>
      <x:c r="M23" s="634" t="str">
        <x:v>O</x:v>
      </x:c>
      <x:c r="N23" s="634" t="str">
        <x:v>O</x:v>
      </x:c>
      <x:c r="O23" s="634"/>
      <x:c r="P23" s="634"/>
      <x:c r="Q23" s="634"/>
      <x:c r="R23" s="634"/>
      <x:c r="S23" s="634"/>
      <x:c r="T23" s="635"/>
    </x:row>
    <x:row r="24" ht="13.5" hidden="0" customHeight="1">
      <x:c r="A24" s="282"/>
      <x:c r="B24" s="276"/>
      <x:c r="C24" s="277"/>
      <x:c r="D24" s="278" t="str">
        <x:v>Cancelled</x:v>
      </x:c>
      <x:c r="E24" s="285"/>
      <x:c r="F24" s="634"/>
      <x:c r="G24" s="634"/>
      <x:c r="H24" s="634"/>
      <x:c r="I24" s="634"/>
      <x:c r="J24" s="634"/>
      <x:c r="K24" s="634"/>
      <x:c r="L24" s="634"/>
      <x:c r="M24" s="634"/>
      <x:c r="N24" s="634"/>
      <x:c r="O24" s="634" t="str">
        <x:v>O</x:v>
      </x:c>
      <x:c r="P24" s="634"/>
      <x:c r="Q24" s="634"/>
      <x:c r="R24" s="634" t="str">
        <x:v>O</x:v>
      </x:c>
      <x:c r="S24" s="634"/>
      <x:c r="T24" s="635"/>
    </x:row>
    <x:row r="25" ht="13.5" hidden="0" customHeight="1">
      <x:c r="A25" s="282"/>
      <x:c r="B25" s="276"/>
      <x:c r="C25" s="277"/>
      <x:c r="D25" s="278" t="str">
        <x:v>Closed</x:v>
      </x:c>
      <x:c r="E25" s="285"/>
      <x:c r="F25" s="634"/>
      <x:c r="G25" s="634"/>
      <x:c r="H25" s="634"/>
      <x:c r="I25" s="634"/>
      <x:c r="J25" s="634"/>
      <x:c r="K25" s="634"/>
      <x:c r="L25" s="634"/>
      <x:c r="M25" s="634"/>
      <x:c r="N25" s="634"/>
      <x:c r="O25" s="634"/>
      <x:c r="P25" s="634" t="str">
        <x:v>O</x:v>
      </x:c>
      <x:c r="Q25" s="634" t="str">
        <x:v>O</x:v>
      </x:c>
      <x:c r="R25" s="634"/>
      <x:c r="S25" s="634" t="str">
        <x:v>O</x:v>
      </x:c>
      <x:c r="T25" s="635"/>
    </x:row>
    <x:row r="26" ht="13.5" hidden="0" customHeight="1">
      <x:c r="A26" s="282"/>
      <x:c r="B26" s="276" t="str">
        <x:v>To Status</x:v>
      </x:c>
      <x:c r="C26" s="277"/>
      <x:c r="D26" s="278" t="str">
        <x:v>Assigned</x:v>
      </x:c>
      <x:c r="E26" s="285"/>
      <x:c r="F26" s="634" t="str">
        <x:v>O</x:v>
      </x:c>
      <x:c r="G26" s="634"/>
      <x:c r="H26" s="634"/>
      <x:c r="I26" s="634"/>
      <x:c r="J26" s="634"/>
      <x:c r="K26" s="634"/>
      <x:c r="L26" s="634"/>
      <x:c r="M26" s="634"/>
      <x:c r="N26" s="634"/>
      <x:c r="O26" s="634"/>
      <x:c r="P26" s="634"/>
      <x:c r="Q26" s="634"/>
      <x:c r="R26" s="634"/>
      <x:c r="S26" s="634"/>
      <x:c r="T26" s="635"/>
    </x:row>
    <x:row r="27" ht="13.5" hidden="0" customHeight="1">
      <x:c r="A27" s="282"/>
      <x:c r="B27" s="276"/>
      <x:c r="C27" s="277"/>
      <x:c r="D27" s="278" t="str">
        <x:v>Cancelled</x:v>
      </x:c>
      <x:c r="E27" s="285"/>
      <x:c r="F27" s="634"/>
      <x:c r="G27" s="634" t="str">
        <x:v>O</x:v>
      </x:c>
      <x:c r="H27" s="634"/>
      <x:c r="I27" s="634"/>
      <x:c r="J27" s="634" t="str">
        <x:v>O</x:v>
      </x:c>
      <x:c r="K27" s="634"/>
      <x:c r="L27" s="634"/>
      <x:c r="M27" s="634"/>
      <x:c r="N27" s="634"/>
      <x:c r="O27" s="634"/>
      <x:c r="P27" s="634"/>
      <x:c r="Q27" s="634"/>
      <x:c r="R27" s="634"/>
      <x:c r="S27" s="634"/>
      <x:c r="T27" s="635"/>
    </x:row>
    <x:row r="28" ht="13.5" hidden="0" customHeight="1">
      <x:c r="A28" s="282"/>
      <x:c r="B28" s="276"/>
      <x:c r="C28" s="277"/>
      <x:c r="D28" s="278" t="str">
        <x:v>InProgress</x:v>
      </x:c>
      <x:c r="E28" s="285"/>
      <x:c r="F28" s="634"/>
      <x:c r="G28" s="634"/>
      <x:c r="H28" s="634" t="str">
        <x:v>O</x:v>
      </x:c>
      <x:c r="I28" s="634" t="str">
        <x:v>O</x:v>
      </x:c>
      <x:c r="J28" s="634"/>
      <x:c r="K28" s="634"/>
      <x:c r="L28" s="634"/>
      <x:c r="M28" s="634"/>
      <x:c r="N28" s="634" t="str">
        <x:v>O</x:v>
      </x:c>
      <x:c r="O28" s="634"/>
      <x:c r="P28" s="634"/>
      <x:c r="Q28" s="634"/>
      <x:c r="R28" s="634"/>
      <x:c r="S28" s="634"/>
      <x:c r="T28" s="635"/>
    </x:row>
    <x:row r="29" ht="13.5" hidden="0" customHeight="1">
      <x:c r="A29" s="282"/>
      <x:c r="B29" s="276"/>
      <x:c r="C29" s="277"/>
      <x:c r="D29" s="278" t="str">
        <x:v>Resolved</x:v>
      </x:c>
      <x:c r="E29" s="285"/>
      <x:c r="F29" s="634"/>
      <x:c r="G29" s="634"/>
      <x:c r="H29" s="634"/>
      <x:c r="I29" s="634"/>
      <x:c r="J29" s="634"/>
      <x:c r="K29" s="634" t="str">
        <x:v>O</x:v>
      </x:c>
      <x:c r="L29" s="634"/>
      <x:c r="M29" s="634"/>
      <x:c r="N29" s="634"/>
      <x:c r="O29" s="634"/>
      <x:c r="P29" s="634" t="str">
        <x:v>O</x:v>
      </x:c>
      <x:c r="Q29" s="634"/>
      <x:c r="R29" s="634"/>
      <x:c r="S29" s="634"/>
      <x:c r="T29" s="635"/>
    </x:row>
    <x:row r="30" ht="13.5" hidden="0" customHeight="1">
      <x:c r="A30" s="282"/>
      <x:c r="B30" s="288"/>
      <x:c r="C30" s="289"/>
      <x:c r="D30" s="290" t="str">
        <x:v>Closed</x:v>
      </x:c>
      <x:c r="E30" s="291"/>
      <x:c r="F30" s="636"/>
      <x:c r="G30" s="636"/>
      <x:c r="H30" s="636"/>
      <x:c r="I30" s="636"/>
      <x:c r="J30" s="636"/>
      <x:c r="K30" s="636"/>
      <x:c r="L30" s="636" t="str">
        <x:v>O</x:v>
      </x:c>
      <x:c r="M30" s="636" t="str">
        <x:v>O</x:v>
      </x:c>
      <x:c r="N30" s="636"/>
      <x:c r="O30" s="636" t="str">
        <x:v>O</x:v>
      </x:c>
      <x:c r="P30" s="636"/>
      <x:c r="Q30" s="636"/>
      <x:c r="R30" s="636"/>
      <x:c r="S30" s="636"/>
      <x:c r="T30" s="637"/>
    </x:row>
    <x:row r="31" ht="13.5" hidden="0" customHeight="1">
      <x:c r="A31" s="294" t="str">
        <x:v>Confirm</x:v>
      </x:c>
      <x:c r="B31" s="295" t="str">
        <x:v>Return</x:v>
      </x:c>
      <x:c r="C31" s="296"/>
      <x:c r="D31" s="297"/>
      <x:c r="E31" s="298"/>
      <x:c r="F31" s="638"/>
      <x:c r="G31" s="638"/>
      <x:c r="H31" s="638"/>
      <x:c r="I31" s="638"/>
      <x:c r="J31" s="638"/>
      <x:c r="K31" s="638"/>
      <x:c r="L31" s="638"/>
      <x:c r="M31" s="638"/>
      <x:c r="N31" s="638"/>
      <x:c r="O31" s="638"/>
      <x:c r="P31" s="638"/>
      <x:c r="Q31" s="638"/>
      <x:c r="R31" s="638"/>
      <x:c r="S31" s="638"/>
      <x:c r="T31" s="639"/>
    </x:row>
    <x:row r="32" ht="13.5" hidden="0" customHeight="1">
      <x:c r="A32" s="301"/>
      <x:c r="B32" s="302"/>
      <x:c r="C32" s="303"/>
      <x:c r="D32" s="304" t="str">
        <x:v>T</x:v>
      </x:c>
      <x:c r="E32" s="305"/>
      <x:c r="F32" s="634" t="str">
        <x:v>O</x:v>
      </x:c>
      <x:c r="G32" s="634" t="str">
        <x:v>O</x:v>
      </x:c>
      <x:c r="H32" s="634"/>
      <x:c r="I32" s="634" t="str">
        <x:v>O</x:v>
      </x:c>
      <x:c r="J32" s="634"/>
      <x:c r="K32" s="634" t="str">
        <x:v>O</x:v>
      </x:c>
      <x:c r="L32" s="634"/>
      <x:c r="M32" s="634" t="str">
        <x:v>O</x:v>
      </x:c>
      <x:c r="N32" s="634"/>
      <x:c r="O32" s="634"/>
      <x:c r="P32" s="634"/>
      <x:c r="Q32" s="634"/>
      <x:c r="R32" s="634"/>
      <x:c r="S32" s="634" t="str">
        <x:v>O</x:v>
      </x:c>
      <x:c r="T32" s="635"/>
    </x:row>
    <x:row r="33" ht="13.5" hidden="0" customHeight="1">
      <x:c r="A33" s="301"/>
      <x:c r="B33" s="302"/>
      <x:c r="C33" s="306"/>
      <x:c r="D33" s="304" t="str">
        <x:v>F</x:v>
      </x:c>
      <x:c r="E33" s="307"/>
      <x:c r="F33" s="634"/>
      <x:c r="G33" s="634"/>
      <x:c r="H33" s="634" t="str">
        <x:v>O</x:v>
      </x:c>
      <x:c r="I33" s="634"/>
      <x:c r="J33" s="634" t="str">
        <x:v>O</x:v>
      </x:c>
      <x:c r="K33" s="634"/>
      <x:c r="L33" s="634" t="str">
        <x:v>O</x:v>
      </x:c>
      <x:c r="M33" s="634"/>
      <x:c r="N33" s="634" t="str">
        <x:v>O</x:v>
      </x:c>
      <x:c r="O33" s="634" t="str">
        <x:v>O</x:v>
      </x:c>
      <x:c r="P33" s="634" t="str">
        <x:v>O</x:v>
      </x:c>
      <x:c r="Q33" s="634"/>
      <x:c r="R33" s="634" t="str">
        <x:v>O</x:v>
      </x:c>
      <x:c r="S33" s="634"/>
      <x:c r="T33" s="635" t="str">
        <x:v>O</x:v>
      </x:c>
    </x:row>
    <x:row r="34" ht="13.5" hidden="0" customHeight="1">
      <x:c r="A34" s="301"/>
      <x:c r="B34" s="302"/>
      <x:c r="C34" s="306"/>
      <x:c r="D34" s="304" t="str">
        <x:v>Empty</x:v>
      </x:c>
      <x:c r="E34" s="307"/>
      <x:c r="F34" s="634"/>
      <x:c r="G34" s="634"/>
      <x:c r="H34" s="634"/>
      <x:c r="I34" s="634"/>
      <x:c r="J34" s="634"/>
      <x:c r="K34" s="634"/>
      <x:c r="L34" s="634"/>
      <x:c r="M34" s="634"/>
      <x:c r="N34" s="634"/>
      <x:c r="O34" s="634"/>
      <x:c r="P34" s="634"/>
      <x:c r="Q34" s="634" t="str">
        <x:v>O</x:v>
      </x:c>
      <x:c r="R34" s="634"/>
      <x:c r="S34" s="634"/>
      <x:c r="T34" s="635"/>
    </x:row>
    <x:row r="35" ht="13.5" hidden="0" customHeight="1">
      <x:c r="A35" s="301"/>
      <x:c r="B35" s="302"/>
      <x:c r="C35" s="306"/>
      <x:c r="D35" s="304"/>
      <x:c r="E35" s="307"/>
      <x:c r="F35" s="634"/>
      <x:c r="G35" s="634"/>
      <x:c r="H35" s="634"/>
      <x:c r="I35" s="634"/>
      <x:c r="J35" s="634"/>
      <x:c r="K35" s="634"/>
      <x:c r="L35" s="634"/>
      <x:c r="M35" s="634"/>
      <x:c r="N35" s="634"/>
      <x:c r="O35" s="634"/>
      <x:c r="P35" s="634"/>
      <x:c r="Q35" s="634"/>
      <x:c r="R35" s="634"/>
      <x:c r="S35" s="634"/>
      <x:c r="T35" s="635"/>
    </x:row>
    <x:row r="36" ht="13.5" hidden="0" customHeight="1">
      <x:c r="A36" s="301"/>
      <x:c r="B36" s="302"/>
      <x:c r="C36" s="306"/>
      <x:c r="D36" s="304"/>
      <x:c r="E36" s="307"/>
      <x:c r="F36" s="634"/>
      <x:c r="G36" s="634"/>
      <x:c r="H36" s="634"/>
      <x:c r="I36" s="634"/>
      <x:c r="J36" s="634"/>
      <x:c r="K36" s="634"/>
      <x:c r="L36" s="634"/>
      <x:c r="M36" s="634"/>
      <x:c r="N36" s="634"/>
      <x:c r="O36" s="634"/>
      <x:c r="P36" s="634"/>
      <x:c r="Q36" s="634"/>
      <x:c r="R36" s="634"/>
      <x:c r="S36" s="634"/>
      <x:c r="T36" s="635"/>
    </x:row>
    <x:row r="37" ht="13.5" hidden="0" customHeight="1">
      <x:c r="A37" s="301"/>
      <x:c r="B37" s="302"/>
      <x:c r="C37" s="306"/>
      <x:c r="D37" s="304"/>
      <x:c r="E37" s="307"/>
      <x:c r="F37" s="634"/>
      <x:c r="G37" s="634"/>
      <x:c r="H37" s="634"/>
      <x:c r="I37" s="634"/>
      <x:c r="J37" s="634"/>
      <x:c r="K37" s="634"/>
      <x:c r="L37" s="634"/>
      <x:c r="M37" s="634"/>
      <x:c r="N37" s="634"/>
      <x:c r="O37" s="634"/>
      <x:c r="P37" s="634"/>
      <x:c r="Q37" s="634"/>
      <x:c r="R37" s="634"/>
      <x:c r="S37" s="634"/>
      <x:c r="T37" s="635"/>
    </x:row>
    <x:row r="38" ht="13.5" hidden="0" customHeight="1">
      <x:c r="A38" s="301"/>
      <x:c r="B38" s="308"/>
      <x:c r="C38" s="309"/>
      <x:c r="D38" s="310"/>
      <x:c r="E38" s="311"/>
      <x:c r="F38" s="640"/>
      <x:c r="G38" s="640"/>
      <x:c r="H38" s="640"/>
      <x:c r="I38" s="640"/>
      <x:c r="J38" s="640"/>
      <x:c r="K38" s="640"/>
      <x:c r="L38" s="640"/>
      <x:c r="M38" s="640"/>
      <x:c r="N38" s="640"/>
      <x:c r="O38" s="640"/>
      <x:c r="P38" s="640"/>
      <x:c r="Q38" s="640"/>
      <x:c r="R38" s="640"/>
      <x:c r="S38" s="640"/>
      <x:c r="T38" s="641"/>
    </x:row>
    <x:row r="39" ht="13.5" hidden="0" customHeight="1">
      <x:c r="A39" s="294" t="str">
        <x:v>Result</x:v>
      </x:c>
      <x:c r="B39" s="314" t="str">
        <x:v>Type(N : Normal, A : Abnormal, B : Boundary)</x:v>
      </x:c>
      <x:c r="C39" s="314"/>
      <x:c r="D39" s="314"/>
      <x:c r="E39" s="314"/>
      <x:c r="F39" s="642" t="str">
        <x:v>N</x:v>
      </x:c>
      <x:c r="G39" s="642" t="str">
        <x:v>N</x:v>
      </x:c>
      <x:c r="H39" s="642" t="str">
        <x:v>A</x:v>
      </x:c>
      <x:c r="I39" s="642" t="str">
        <x:v>N</x:v>
      </x:c>
      <x:c r="J39" s="642" t="str">
        <x:v>A</x:v>
      </x:c>
      <x:c r="K39" s="642" t="str">
        <x:v>N</x:v>
      </x:c>
      <x:c r="L39" s="642" t="str">
        <x:v>A</x:v>
      </x:c>
      <x:c r="M39" s="642" t="str">
        <x:v>N</x:v>
      </x:c>
      <x:c r="N39" s="642" t="str">
        <x:v>A</x:v>
      </x:c>
      <x:c r="O39" s="642" t="str">
        <x:v>A</x:v>
      </x:c>
      <x:c r="P39" s="642" t="str">
        <x:v>A</x:v>
      </x:c>
      <x:c r="Q39" s="642" t="str">
        <x:v>B</x:v>
      </x:c>
      <x:c r="R39" s="642" t="str">
        <x:v>B</x:v>
      </x:c>
      <x:c r="S39" s="642" t="str">
        <x:v>B</x:v>
      </x:c>
      <x:c r="T39" s="643" t="str">
        <x:v>B</x:v>
      </x:c>
    </x:row>
    <x:row r="40" ht="13.5" hidden="0" customHeight="1">
      <x:c r="A40" s="317"/>
      <x:c r="B40" s="318" t="str">
        <x:v>Passed/Failed</x:v>
      </x:c>
      <x:c r="C40" s="318"/>
      <x:c r="D40" s="318"/>
      <x:c r="E40" s="319"/>
      <x:c r="F40" s="644"/>
      <x:c r="G40" s="644"/>
      <x:c r="H40" s="644"/>
      <x:c r="I40" s="644"/>
      <x:c r="J40" s="644"/>
      <x:c r="K40" s="644"/>
      <x:c r="L40" s="644"/>
      <x:c r="M40" s="644"/>
      <x:c r="N40" s="644"/>
      <x:c r="O40" s="644"/>
      <x:c r="P40" s="644"/>
      <x:c r="Q40" s="644"/>
      <x:c r="R40" s="644"/>
      <x:c r="S40" s="644"/>
      <x:c r="T40" s="645"/>
    </x:row>
    <x:row r="41" ht="13.5" hidden="0" customHeight="1">
      <x:c r="A41" s="317"/>
      <x:c r="B41" s="322" t="str">
        <x:v>Executed Date</x:v>
      </x:c>
      <x:c r="C41" s="322"/>
      <x:c r="D41" s="322"/>
      <x:c r="E41" s="323"/>
      <x:c r="F41" s="610"/>
      <x:c r="G41" s="610"/>
      <x:c r="H41" s="610"/>
      <x:c r="I41" s="610"/>
      <x:c r="J41" s="610"/>
      <x:c r="K41" s="610"/>
      <x:c r="L41" s="610"/>
      <x:c r="M41" s="610"/>
      <x:c r="N41" s="610"/>
      <x:c r="O41" s="610"/>
      <x:c r="P41" s="610"/>
      <x:c r="Q41" s="610"/>
      <x:c r="R41" s="610"/>
      <x:c r="S41" s="610"/>
      <x:c r="T41" s="611"/>
    </x:row>
    <x:row r="42" ht="75.75" hidden="0" customHeight="1">
      <x:c r="A42" s="326"/>
      <x:c r="B42" s="327" t="str">
        <x:v>Defect ID</x:v>
      </x:c>
      <x:c r="C42" s="327"/>
      <x:c r="D42" s="327"/>
      <x:c r="E42" s="328"/>
      <x:c r="F42" s="612"/>
      <x:c r="G42" s="612"/>
      <x:c r="H42" s="612"/>
      <x:c r="I42" s="612"/>
      <x:c r="J42" s="612"/>
      <x:c r="K42" s="612"/>
      <x:c r="L42" s="612"/>
      <x:c r="M42" s="612"/>
      <x:c r="N42" s="612"/>
      <x:c r="O42" s="612"/>
      <x:c r="P42" s="612"/>
      <x:c r="Q42" s="612"/>
      <x:c r="R42" s="612"/>
      <x:c r="S42" s="612"/>
      <x:c r="T42" s="613"/>
    </x:row>
    <x:row r="43" ht="11.25" hidden="0" customHeight="1">
      <x:c r="A43" s="243"/>
      <x:c r="B43" s="242"/>
      <x:c r="C43" s="244"/>
      <x:c r="D43" s="242"/>
    </x:row>
  </x:sheetData>
  <x:mergeCells>
    <x:mergeCell ref="A2:B2"/>
    <x:mergeCell ref="C2:D2"/>
    <x:mergeCell ref="F2:K2"/>
    <x:mergeCell ref="L2:T2"/>
    <x:mergeCell ref="A3:B3"/>
    <x:mergeCell ref="C3:E3"/>
    <x:mergeCell ref="F3:K3"/>
    <x:mergeCell ref="L3:N3"/>
    <x:mergeCell ref="A4:B4"/>
    <x:mergeCell ref="C4:D4"/>
    <x:mergeCell ref="F4:K4"/>
    <x:mergeCell ref="L4:T4"/>
    <x:mergeCell ref="A5:B5"/>
    <x:mergeCell ref="C5:T5"/>
    <x:mergeCell ref="A6:B6"/>
    <x:mergeCell ref="C6:E6"/>
    <x:mergeCell ref="F6:K6"/>
    <x:mergeCell ref="L6:N6"/>
    <x:mergeCell ref="O6:T6"/>
    <x:mergeCell ref="A7:B7"/>
    <x:mergeCell ref="C7:E7"/>
    <x:mergeCell ref="F7:K7"/>
    <x:mergeCell ref="O7:T7"/>
    <x:mergeCell ref="D19:E19"/>
    <x:mergeCell ref="B39:D39"/>
    <x:mergeCell ref="B40:D40"/>
    <x:mergeCell ref="B41:D41"/>
    <x:mergeCell ref="B42:D42"/>
  </x:mergeCells>
  <x:dataValidations count="3">
    <x:dataValidation type="list" errorStyle="stop" operator="between" allowBlank="1" showDropDown="0" showInputMessage="0" showErrorMessage="1" sqref="F39:T39">
      <x:formula1>"N,A,B,"</x:formula1>
      <x:formula2>0</x:formula2>
    </x:dataValidation>
    <x:dataValidation type="list" errorStyle="stop" operator="between" allowBlank="1" showDropDown="0" showInputMessage="0" showErrorMessage="1" sqref="F40:T40">
      <x:formula1>"P,F,"</x:formula1>
      <x:formula2>0</x:formula2>
    </x:dataValidation>
    <x:dataValidation type="list" errorStyle="stop" operator="between" allowBlank="1" showDropDown="0" showInputMessage="0" showErrorMessage="1" sqref="F10:T38">
      <x:formula1>"O,"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e3a979c1df2d428e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ColWidth="8.9921875" defaultRowHeight="13.5"/>
  <x:cols>
    <x:col min="1" max="1" width="8.119999885559082" style="117" hidden="0" customWidth="1"/>
    <x:col min="2" max="2" width="13.359999656677246" style="118" hidden="0" customWidth="1"/>
    <x:col min="3" max="3" width="10.739999771118164" style="117" hidden="0" customWidth="1"/>
    <x:col min="4" max="4" width="11.369999885559082" style="119" hidden="0" customWidth="1"/>
    <x:col min="5" max="5" width="1.75" style="117" hidden="1" customWidth="1"/>
    <x:col min="6" max="21" width="2.869999885559082" style="117" hidden="0" customWidth="1"/>
    <x:col min="22" max="257" width="8.989999771118164" style="117" hidden="0" customWidth="0"/>
  </x:cols>
  <x:sheetData>
    <x:row r="1" ht="13.5" hidden="0" customHeight="1">
      <x:c r="A1" s="120"/>
      <x:c r="B1" s="121"/>
    </x:row>
    <x:row r="2" ht="13.5" hidden="0" customHeight="1">
      <x:c r="A2" s="122" t="s">
        <x:v>80</x:v>
      </x:c>
      <x:c r="B2" s="122"/>
      <x:c r="C2" s="123" t="str">
        <x:f aca="0">FunctionList!E11</x:f>
        <x:v>DAY_IN_MONTH</x:v>
      </x:c>
      <x:c r="D2" s="123"/>
      <x:c r="E2" s="123"/>
      <x:c r="F2" s="124" t="s">
        <x:v>65</x:v>
      </x:c>
      <x:c r="G2" s="124"/>
      <x:c r="H2" s="124"/>
      <x:c r="I2" s="124"/>
      <x:c r="J2" s="124"/>
      <x:c r="K2" s="124"/>
      <x:c r="L2" s="125" t="str">
        <x:f aca="0">FunctionList!D11</x:f>
        <x:v>DayInMonth</x:v>
      </x:c>
      <x:c r="M2" s="125"/>
      <x:c r="N2" s="125"/>
      <x:c r="O2" s="125"/>
      <x:c r="P2" s="125"/>
      <x:c r="Q2" s="125"/>
      <x:c r="R2" s="125"/>
      <x:c r="S2" s="125"/>
      <x:c r="T2" s="125"/>
      <x:c r="V2" s="126"/>
    </x:row>
    <x:row r="3" ht="13.5" hidden="0" customHeight="1">
      <x:c r="A3" s="127" t="s">
        <x:v>81</x:v>
      </x:c>
      <x:c r="B3" s="127"/>
      <x:c r="C3" s="128" t="s">
        <x:v>85</x:v>
      </x:c>
      <x:c r="D3" s="128"/>
      <x:c r="E3" s="128"/>
      <x:c r="F3" s="129" t="s">
        <x:v>86</x:v>
      </x:c>
      <x:c r="G3" s="129"/>
      <x:c r="H3" s="129"/>
      <x:c r="I3" s="129"/>
      <x:c r="J3" s="129"/>
      <x:c r="K3" s="129"/>
      <x:c r="L3" s="130"/>
      <x:c r="M3" s="130"/>
      <x:c r="N3" s="130"/>
      <x:c r="O3" s="131"/>
      <x:c r="P3" s="131"/>
      <x:c r="Q3" s="131"/>
      <x:c r="R3" s="131"/>
      <x:c r="S3" s="131"/>
      <x:c r="T3" s="132"/>
    </x:row>
    <x:row r="4" ht="13.5" hidden="0" customHeight="1">
      <x:c r="A4" s="127" t="s">
        <x:v>82</x:v>
      </x:c>
      <x:c r="B4" s="127"/>
      <x:c r="C4" s="133" t="n">
        <x:v>100</x:v>
      </x:c>
      <x:c r="D4" s="133"/>
      <x:c r="E4" s="134"/>
      <x:c r="F4" s="129" t="s">
        <x:v>87</x:v>
      </x:c>
      <x:c r="G4" s="129"/>
      <x:c r="H4" s="129"/>
      <x:c r="I4" s="129"/>
      <x:c r="J4" s="129"/>
      <x:c r="K4" s="129"/>
      <x:c r="L4" s="135" t="n">
        <x:f aca="0">IF(FunctionList!E6&lt;&gt;"N/A",SUM(C4*FunctionList!E6/1000,-O7),"N/A")</x:f>
        <x:v>-5</x:v>
      </x:c>
      <x:c r="M4" s="135"/>
      <x:c r="N4" s="135"/>
      <x:c r="O4" s="135"/>
      <x:c r="P4" s="135"/>
      <x:c r="Q4" s="135"/>
      <x:c r="R4" s="135"/>
      <x:c r="S4" s="135"/>
      <x:c r="T4" s="135"/>
      <x:c r="V4" s="126"/>
    </x:row>
    <x:row r="5" ht="13.5" hidden="0" customHeight="1">
      <x:c r="A5" s="127" t="s">
        <x:v>83</x:v>
      </x:c>
      <x:c r="B5" s="127"/>
      <x:c r="C5" s="136" t="s">
        <x:v>88</x:v>
      </x:c>
      <x:c r="D5" s="136"/>
      <x:c r="E5" s="136"/>
      <x:c r="F5" s="136"/>
      <x:c r="G5" s="136"/>
      <x:c r="H5" s="136"/>
      <x:c r="I5" s="136"/>
      <x:c r="J5" s="136"/>
      <x:c r="K5" s="136"/>
      <x:c r="L5" s="136"/>
      <x:c r="M5" s="136"/>
      <x:c r="N5" s="136"/>
      <x:c r="O5" s="136"/>
      <x:c r="P5" s="136"/>
      <x:c r="Q5" s="136"/>
      <x:c r="R5" s="136"/>
      <x:c r="S5" s="136"/>
      <x:c r="T5" s="136"/>
    </x:row>
    <x:row r="6" ht="13.5" hidden="0" customHeight="1">
      <x:c r="A6" s="137" t="s">
        <x:v>73</x:v>
      </x:c>
      <x:c r="B6" s="137"/>
      <x:c r="C6" s="138" t="s">
        <x:v>74</x:v>
      </x:c>
      <x:c r="D6" s="138"/>
      <x:c r="E6" s="138"/>
      <x:c r="F6" s="138" t="s">
        <x:v>75</x:v>
      </x:c>
      <x:c r="G6" s="138"/>
      <x:c r="H6" s="138"/>
      <x:c r="I6" s="138"/>
      <x:c r="J6" s="138"/>
      <x:c r="K6" s="138"/>
      <x:c r="L6" s="139" t="s">
        <x:v>89</x:v>
      </x:c>
      <x:c r="M6" s="139"/>
      <x:c r="N6" s="139"/>
      <x:c r="O6" s="140" t="s">
        <x:v>79</x:v>
      </x:c>
      <x:c r="P6" s="140"/>
      <x:c r="Q6" s="140"/>
      <x:c r="R6" s="140"/>
      <x:c r="S6" s="140"/>
      <x:c r="T6" s="140"/>
      <x:c r="V6" s="126"/>
    </x:row>
    <x:row r="7" ht="13.5" hidden="0" customHeight="1">
      <x:c r="A7" s="141" t="n">
        <x:f aca="0">COUNTIF(F47:HQ47,"P")</x:f>
        <x:v>0</x:v>
      </x:c>
      <x:c r="B7" s="141"/>
      <x:c r="C7" s="142" t="n">
        <x:f aca="0">COUNTIF(F47:HQ47,"F")</x:f>
        <x:v>0</x:v>
      </x:c>
      <x:c r="D7" s="142"/>
      <x:c r="E7" s="142"/>
      <x:c r="F7" s="142" t="n">
        <x:f aca="0">SUM(O7,-A7,-C7)</x:f>
        <x:v>15</x:v>
      </x:c>
      <x:c r="G7" s="142"/>
      <x:c r="H7" s="142"/>
      <x:c r="I7" s="142"/>
      <x:c r="J7" s="142"/>
      <x:c r="K7" s="142"/>
      <x:c r="L7" s="143" t="n">
        <x:f aca="0">COUNTIF(E46:HQ46,"N")</x:f>
        <x:v>0</x:v>
      </x:c>
      <x:c r="M7" s="143" t="n">
        <x:f aca="0">COUNTIF(E46:HQ46,"A")</x:f>
        <x:v>0</x:v>
      </x:c>
      <x:c r="N7" s="143" t="n">
        <x:f aca="0">COUNTIF(E46:HQ46,"B")</x:f>
        <x:v>0</x:v>
      </x:c>
      <x:c r="O7" s="144" t="n">
        <x:f aca="0">COUNTA(E9:HT9)</x:f>
        <x:v>15</x:v>
      </x:c>
      <x:c r="P7" s="144"/>
      <x:c r="Q7" s="144"/>
      <x:c r="R7" s="144"/>
      <x:c r="S7" s="144"/>
      <x:c r="T7" s="144"/>
      <x:c r="U7" s="145"/>
    </x:row>
    <x:row r="8" ht="11.25" hidden="0" customHeight="1"/>
    <x:row r="9" ht="45" hidden="0" customHeight="1">
      <x:c r="A9" s="221"/>
      <x:c r="B9" s="331"/>
      <x:c r="C9" s="332"/>
      <x:c r="D9" s="333"/>
      <x:c r="E9" s="332"/>
      <x:c r="F9" s="334" t="s">
        <x:v>90</x:v>
      </x:c>
      <x:c r="G9" s="334" t="s">
        <x:v>91</x:v>
      </x:c>
      <x:c r="H9" s="334" t="s">
        <x:v>91</x:v>
      </x:c>
      <x:c r="I9" s="334" t="s">
        <x:v>91</x:v>
      </x:c>
      <x:c r="J9" s="334" t="s">
        <x:v>91</x:v>
      </x:c>
      <x:c r="K9" s="334" t="s">
        <x:v>91</x:v>
      </x:c>
      <x:c r="L9" s="334" t="s">
        <x:v>92</x:v>
      </x:c>
      <x:c r="M9" s="334" t="s">
        <x:v>93</x:v>
      </x:c>
      <x:c r="N9" s="334" t="s">
        <x:v>94</x:v>
      </x:c>
      <x:c r="O9" s="334" t="s">
        <x:v>95</x:v>
      </x:c>
      <x:c r="P9" s="334" t="s">
        <x:v>96</x:v>
      </x:c>
      <x:c r="Q9" s="334" t="s">
        <x:v>97</x:v>
      </x:c>
      <x:c r="R9" s="334" t="s">
        <x:v>98</x:v>
      </x:c>
      <x:c r="S9" s="334" t="s">
        <x:v>99</x:v>
      </x:c>
      <x:c r="T9" s="335" t="s">
        <x:v>100</x:v>
      </x:c>
      <x:c r="U9" s="152"/>
      <x:c r="V9" s="153"/>
      <x:c r="W9" s="154"/>
    </x:row>
    <x:row r="10" ht="13.5" hidden="0" customHeight="1">
      <x:c r="A10" s="155" t="s">
        <x:v>84</x:v>
      </x:c>
      <x:c r="B10" s="163" t="s">
        <x:v>101</x:v>
      </x:c>
      <x:c r="C10" s="164"/>
      <x:c r="D10" s="165"/>
      <x:c r="E10" s="227"/>
      <x:c r="F10" s="228"/>
      <x:c r="G10" s="228"/>
      <x:c r="H10" s="228"/>
      <x:c r="I10" s="228"/>
      <x:c r="J10" s="228"/>
      <x:c r="K10" s="228"/>
      <x:c r="L10" s="228"/>
      <x:c r="M10" s="228"/>
      <x:c r="N10" s="228"/>
      <x:c r="O10" s="228"/>
      <x:c r="P10" s="228"/>
      <x:c r="Q10" s="228"/>
      <x:c r="R10" s="228"/>
      <x:c r="S10" s="228"/>
      <x:c r="T10" s="229"/>
    </x:row>
    <x:row r="11" ht="13.5" hidden="0" customHeight="1">
      <x:c r="A11" s="162"/>
      <x:c r="B11" s="163"/>
      <x:c r="C11" s="164"/>
      <x:c r="D11" s="165"/>
      <x:c r="E11" s="159"/>
      <x:c r="F11" s="228"/>
      <x:c r="G11" s="228"/>
      <x:c r="H11" s="228"/>
      <x:c r="I11" s="228"/>
      <x:c r="J11" s="228"/>
      <x:c r="K11" s="228"/>
      <x:c r="L11" s="228"/>
      <x:c r="M11" s="228"/>
      <x:c r="N11" s="228"/>
      <x:c r="O11" s="228"/>
      <x:c r="P11" s="228"/>
      <x:c r="Q11" s="228"/>
      <x:c r="R11" s="228"/>
      <x:c r="S11" s="228"/>
      <x:c r="T11" s="229"/>
      <x:c r="V11" s="126"/>
    </x:row>
    <x:row r="12" ht="13.5" hidden="0" customHeight="1">
      <x:c r="A12" s="162"/>
      <x:c r="B12" s="163"/>
      <x:c r="C12" s="164"/>
      <x:c r="D12" s="165"/>
      <x:c r="E12" s="159"/>
      <x:c r="F12" s="228"/>
      <x:c r="G12" s="228"/>
      <x:c r="H12" s="228"/>
      <x:c r="I12" s="228"/>
      <x:c r="J12" s="228"/>
      <x:c r="K12" s="228"/>
      <x:c r="L12" s="228"/>
      <x:c r="M12" s="228"/>
      <x:c r="N12" s="228"/>
      <x:c r="O12" s="228"/>
      <x:c r="P12" s="228"/>
      <x:c r="Q12" s="228"/>
      <x:c r="R12" s="228"/>
      <x:c r="S12" s="228"/>
      <x:c r="T12" s="229"/>
    </x:row>
    <x:row r="13" ht="13.5" hidden="0" customHeight="1">
      <x:c r="A13" s="162"/>
      <x:c r="B13" s="163"/>
      <x:c r="C13" s="164"/>
      <x:c r="D13" s="165"/>
      <x:c r="E13" s="168"/>
      <x:c r="F13" s="228"/>
      <x:c r="G13" s="228"/>
      <x:c r="H13" s="228"/>
      <x:c r="I13" s="228"/>
      <x:c r="J13" s="228"/>
      <x:c r="K13" s="228"/>
      <x:c r="L13" s="228"/>
      <x:c r="M13" s="228"/>
      <x:c r="N13" s="228"/>
      <x:c r="O13" s="228"/>
      <x:c r="P13" s="228"/>
      <x:c r="Q13" s="228"/>
      <x:c r="R13" s="228"/>
      <x:c r="S13" s="228"/>
      <x:c r="T13" s="229"/>
    </x:row>
    <x:row r="14" ht="13.5" hidden="0" customHeight="1">
      <x:c r="A14" s="162"/>
      <x:c r="B14" s="163" t="s">
        <x:v>102</x:v>
      </x:c>
      <x:c r="C14" s="164"/>
      <x:c r="D14" s="165"/>
      <x:c r="E14" s="169"/>
      <x:c r="F14" s="228"/>
      <x:c r="G14" s="228"/>
      <x:c r="H14" s="228"/>
      <x:c r="I14" s="228"/>
      <x:c r="J14" s="228"/>
      <x:c r="K14" s="228"/>
      <x:c r="L14" s="228"/>
      <x:c r="M14" s="228"/>
      <x:c r="N14" s="228"/>
      <x:c r="O14" s="228"/>
      <x:c r="P14" s="228"/>
      <x:c r="Q14" s="228"/>
      <x:c r="R14" s="228"/>
      <x:c r="S14" s="228"/>
      <x:c r="T14" s="229"/>
    </x:row>
    <x:row r="15" ht="13.5" hidden="0" customHeight="1">
      <x:c r="A15" s="162"/>
      <x:c r="B15" s="163"/>
      <x:c r="C15" s="164"/>
      <x:c r="D15" s="165" t="n">
        <x:v>-2</x:v>
      </x:c>
      <x:c r="E15" s="169"/>
      <x:c r="F15" s="228" t="s">
        <x:v>103</x:v>
      </x:c>
      <x:c r="G15" s="228"/>
      <x:c r="H15" s="228"/>
      <x:c r="I15" s="228"/>
      <x:c r="J15" s="228"/>
      <x:c r="K15" s="228"/>
      <x:c r="L15" s="228"/>
      <x:c r="M15" s="228"/>
      <x:c r="N15" s="228"/>
      <x:c r="O15" s="228"/>
      <x:c r="P15" s="228"/>
      <x:c r="Q15" s="228"/>
      <x:c r="R15" s="228"/>
      <x:c r="S15" s="228"/>
      <x:c r="T15" s="229"/>
    </x:row>
    <x:row r="16" ht="13.5" hidden="0" customHeight="1">
      <x:c r="A16" s="162"/>
      <x:c r="B16" s="163"/>
      <x:c r="C16" s="164"/>
      <x:c r="D16" s="165" t="n">
        <x:v>-1</x:v>
      </x:c>
      <x:c r="E16" s="169"/>
      <x:c r="F16" s="228"/>
      <x:c r="G16" s="228"/>
      <x:c r="H16" s="228"/>
      <x:c r="I16" s="228"/>
      <x:c r="J16" s="228"/>
      <x:c r="K16" s="228"/>
      <x:c r="L16" s="228" t="s">
        <x:v>103</x:v>
      </x:c>
      <x:c r="M16" s="228"/>
      <x:c r="N16" s="228"/>
      <x:c r="O16" s="228"/>
      <x:c r="P16" s="228"/>
      <x:c r="Q16" s="228"/>
      <x:c r="R16" s="228"/>
      <x:c r="S16" s="228"/>
      <x:c r="T16" s="229"/>
    </x:row>
    <x:row r="17" ht="13.5" hidden="0" customHeight="1">
      <x:c r="A17" s="162"/>
      <x:c r="B17" s="163"/>
      <x:c r="C17" s="164"/>
      <x:c r="D17" s="165" t="n">
        <x:v>0</x:v>
      </x:c>
      <x:c r="E17" s="169"/>
      <x:c r="F17" s="228"/>
      <x:c r="G17" s="228" t="s">
        <x:v>103</x:v>
      </x:c>
      <x:c r="H17" s="228" t="s">
        <x:v>103</x:v>
      </x:c>
      <x:c r="I17" s="228" t="s">
        <x:v>103</x:v>
      </x:c>
      <x:c r="J17" s="228"/>
      <x:c r="K17" s="228"/>
      <x:c r="L17" s="228"/>
      <x:c r="M17" s="228"/>
      <x:c r="N17" s="228"/>
      <x:c r="O17" s="228"/>
      <x:c r="P17" s="228"/>
      <x:c r="Q17" s="228"/>
      <x:c r="R17" s="228"/>
      <x:c r="S17" s="228"/>
      <x:c r="T17" s="229"/>
      <x:c r="U17" s="230"/>
    </x:row>
    <x:row r="18" ht="13.5" hidden="0" customHeight="1">
      <x:c r="A18" s="162"/>
      <x:c r="B18" s="163"/>
      <x:c r="C18" s="164"/>
      <x:c r="D18" s="165" t="n">
        <x:v>1</x:v>
      </x:c>
      <x:c r="E18" s="169"/>
      <x:c r="F18" s="228"/>
      <x:c r="G18" s="228"/>
      <x:c r="H18" s="228"/>
      <x:c r="I18" s="228"/>
      <x:c r="J18" s="228" t="s">
        <x:v>103</x:v>
      </x:c>
      <x:c r="K18" s="228" t="s">
        <x:v>103</x:v>
      </x:c>
      <x:c r="L18" s="228"/>
      <x:c r="M18" s="228"/>
      <x:c r="N18" s="228"/>
      <x:c r="O18" s="228"/>
      <x:c r="P18" s="228"/>
      <x:c r="Q18" s="228"/>
      <x:c r="R18" s="228"/>
      <x:c r="S18" s="228"/>
      <x:c r="T18" s="229"/>
      <x:c r="U18" s="230"/>
    </x:row>
    <x:row r="19" ht="13.5" hidden="0" customHeight="1">
      <x:c r="A19" s="162"/>
      <x:c r="B19" s="163" t="s">
        <x:v>104</x:v>
      </x:c>
      <x:c r="C19" s="164"/>
      <x:c r="D19" s="165"/>
      <x:c r="E19" s="169"/>
      <x:c r="F19" s="228"/>
      <x:c r="G19" s="228"/>
      <x:c r="H19" s="228"/>
      <x:c r="I19" s="228"/>
      <x:c r="J19" s="228"/>
      <x:c r="K19" s="228"/>
      <x:c r="L19" s="228"/>
      <x:c r="M19" s="228"/>
      <x:c r="N19" s="228"/>
      <x:c r="O19" s="228"/>
      <x:c r="P19" s="228"/>
      <x:c r="Q19" s="228"/>
      <x:c r="R19" s="228"/>
      <x:c r="S19" s="228"/>
      <x:c r="T19" s="229"/>
      <x:c r="U19" s="230"/>
    </x:row>
    <x:row r="20" ht="13.5" hidden="0" customHeight="1">
      <x:c r="A20" s="162"/>
      <x:c r="B20" s="163"/>
      <x:c r="C20" s="164"/>
      <x:c r="D20" s="171" t="n">
        <x:v>0</x:v>
      </x:c>
      <x:c r="E20" s="171"/>
      <x:c r="F20" s="228"/>
      <x:c r="G20" s="228" t="s">
        <x:v>103</x:v>
      </x:c>
      <x:c r="H20" s="228" t="s">
        <x:v>103</x:v>
      </x:c>
      <x:c r="I20" s="228"/>
      <x:c r="J20" s="228"/>
      <x:c r="K20" s="228"/>
      <x:c r="L20" s="228"/>
      <x:c r="M20" s="228"/>
      <x:c r="N20" s="228"/>
      <x:c r="O20" s="228"/>
      <x:c r="P20" s="228"/>
      <x:c r="Q20" s="228"/>
      <x:c r="R20" s="228"/>
      <x:c r="S20" s="228"/>
      <x:c r="T20" s="229"/>
    </x:row>
    <x:row r="21" ht="13.5" hidden="0" customHeight="1">
      <x:c r="A21" s="162"/>
      <x:c r="B21" s="163"/>
      <x:c r="C21" s="164"/>
      <x:c r="D21" s="165" t="n">
        <x:v>-2</x:v>
      </x:c>
      <x:c r="E21" s="169"/>
      <x:c r="F21" s="228"/>
      <x:c r="G21" s="228"/>
      <x:c r="H21" s="228"/>
      <x:c r="I21" s="228"/>
      <x:c r="J21" s="228" t="s">
        <x:v>103</x:v>
      </x:c>
      <x:c r="K21" s="228" t="s">
        <x:v>103</x:v>
      </x:c>
      <x:c r="L21" s="228" t="s">
        <x:v>103</x:v>
      </x:c>
      <x:c r="M21" s="228"/>
      <x:c r="N21" s="228"/>
      <x:c r="O21" s="228"/>
      <x:c r="P21" s="228"/>
      <x:c r="Q21" s="228"/>
      <x:c r="R21" s="228"/>
      <x:c r="S21" s="228"/>
      <x:c r="T21" s="229"/>
    </x:row>
    <x:row r="22" ht="13.5" hidden="0" customHeight="1">
      <x:c r="A22" s="162"/>
      <x:c r="B22" s="163"/>
      <x:c r="C22" s="164"/>
      <x:c r="D22" s="165" t="n">
        <x:v>2</x:v>
      </x:c>
      <x:c r="E22" s="169"/>
      <x:c r="F22" s="228"/>
      <x:c r="G22" s="228"/>
      <x:c r="H22" s="228"/>
      <x:c r="I22" s="228" t="s">
        <x:v>103</x:v>
      </x:c>
      <x:c r="J22" s="228"/>
      <x:c r="K22" s="228"/>
      <x:c r="L22" s="228"/>
      <x:c r="M22" s="228"/>
      <x:c r="N22" s="228"/>
      <x:c r="O22" s="228"/>
      <x:c r="P22" s="228"/>
      <x:c r="Q22" s="228"/>
      <x:c r="R22" s="228"/>
      <x:c r="S22" s="228"/>
      <x:c r="T22" s="229"/>
    </x:row>
    <x:row r="23" ht="13.5" hidden="0" customHeight="1">
      <x:c r="A23" s="162"/>
      <x:c r="B23" s="163" t="s">
        <x:v>105</x:v>
      </x:c>
      <x:c r="C23" s="164"/>
      <x:c r="D23" s="165"/>
      <x:c r="E23" s="169"/>
      <x:c r="F23" s="228"/>
      <x:c r="G23" s="228"/>
      <x:c r="H23" s="228"/>
      <x:c r="I23" s="228"/>
      <x:c r="J23" s="228"/>
      <x:c r="K23" s="228"/>
      <x:c r="L23" s="228"/>
      <x:c r="M23" s="228"/>
      <x:c r="N23" s="228"/>
      <x:c r="O23" s="228"/>
      <x:c r="P23" s="228"/>
      <x:c r="Q23" s="228"/>
      <x:c r="R23" s="228"/>
      <x:c r="S23" s="228"/>
      <x:c r="T23" s="229"/>
    </x:row>
    <x:row r="24" ht="13.5" hidden="0" customHeight="1">
      <x:c r="A24" s="162"/>
      <x:c r="B24" s="163"/>
      <x:c r="C24" s="164"/>
      <x:c r="D24" s="165" t="n">
        <x:v>0</x:v>
      </x:c>
      <x:c r="E24" s="169"/>
      <x:c r="F24" s="228"/>
      <x:c r="G24" s="228" t="s">
        <x:v>103</x:v>
      </x:c>
      <x:c r="H24" s="228"/>
      <x:c r="I24" s="228"/>
      <x:c r="J24" s="228"/>
      <x:c r="K24" s="228"/>
      <x:c r="L24" s="228"/>
      <x:c r="M24" s="228"/>
      <x:c r="N24" s="228"/>
      <x:c r="O24" s="228"/>
      <x:c r="P24" s="228"/>
      <x:c r="Q24" s="228"/>
      <x:c r="R24" s="228"/>
      <x:c r="S24" s="228"/>
      <x:c r="T24" s="229"/>
    </x:row>
    <x:row r="25" ht="13.5" hidden="0" customHeight="1">
      <x:c r="A25" s="162"/>
      <x:c r="B25" s="163"/>
      <x:c r="C25" s="164"/>
      <x:c r="D25" s="165" t="n">
        <x:v>1</x:v>
      </x:c>
      <x:c r="E25" s="169"/>
      <x:c r="F25" s="228"/>
      <x:c r="G25" s="228"/>
      <x:c r="H25" s="228" t="s">
        <x:v>103</x:v>
      </x:c>
      <x:c r="I25" s="228" t="s">
        <x:v>103</x:v>
      </x:c>
      <x:c r="J25" s="228" t="s">
        <x:v>103</x:v>
      </x:c>
      <x:c r="K25" s="228"/>
      <x:c r="L25" s="228"/>
      <x:c r="M25" s="228"/>
      <x:c r="N25" s="228"/>
      <x:c r="O25" s="228"/>
      <x:c r="P25" s="228"/>
      <x:c r="Q25" s="228"/>
      <x:c r="R25" s="228"/>
      <x:c r="S25" s="228"/>
      <x:c r="T25" s="229"/>
    </x:row>
    <x:row r="26" ht="13.5" hidden="0" customHeight="1">
      <x:c r="A26" s="162"/>
      <x:c r="B26" s="163"/>
      <x:c r="C26" s="164"/>
      <x:c r="D26" s="165" t="n">
        <x:v>3</x:v>
      </x:c>
      <x:c r="E26" s="169"/>
      <x:c r="F26" s="228"/>
      <x:c r="G26" s="228"/>
      <x:c r="H26" s="228"/>
      <x:c r="I26" s="228"/>
      <x:c r="J26" s="228"/>
      <x:c r="K26" s="228"/>
      <x:c r="L26" s="228" t="s">
        <x:v>103</x:v>
      </x:c>
      <x:c r="M26" s="228"/>
      <x:c r="N26" s="228"/>
      <x:c r="O26" s="228"/>
      <x:c r="P26" s="228"/>
      <x:c r="Q26" s="228"/>
      <x:c r="R26" s="228"/>
      <x:c r="S26" s="228"/>
      <x:c r="T26" s="229"/>
    </x:row>
    <x:row r="27" ht="13.5" hidden="0" customHeight="1">
      <x:c r="A27" s="162"/>
      <x:c r="B27" s="163"/>
      <x:c r="C27" s="164"/>
      <x:c r="D27" s="165" t="n">
        <x:v>5</x:v>
      </x:c>
      <x:c r="E27" s="169"/>
      <x:c r="F27" s="228"/>
      <x:c r="G27" s="228"/>
      <x:c r="H27" s="228"/>
      <x:c r="I27" s="228"/>
      <x:c r="J27" s="228"/>
      <x:c r="K27" s="228" t="s">
        <x:v>103</x:v>
      </x:c>
      <x:c r="L27" s="228"/>
      <x:c r="M27" s="228"/>
      <x:c r="N27" s="228"/>
      <x:c r="O27" s="228"/>
      <x:c r="P27" s="228"/>
      <x:c r="Q27" s="228"/>
      <x:c r="R27" s="228"/>
      <x:c r="S27" s="228"/>
      <x:c r="T27" s="229"/>
    </x:row>
    <x:row r="28" ht="13.5" hidden="0" customHeight="1">
      <x:c r="A28" s="162"/>
      <x:c r="B28" s="163"/>
      <x:c r="C28" s="164"/>
      <x:c r="D28" s="165"/>
      <x:c r="E28" s="169"/>
      <x:c r="F28" s="228"/>
      <x:c r="G28" s="228"/>
      <x:c r="H28" s="228"/>
      <x:c r="I28" s="228"/>
      <x:c r="J28" s="228"/>
      <x:c r="K28" s="228"/>
      <x:c r="L28" s="228"/>
      <x:c r="M28" s="228"/>
      <x:c r="N28" s="228"/>
      <x:c r="O28" s="228"/>
      <x:c r="P28" s="228"/>
      <x:c r="Q28" s="228"/>
      <x:c r="R28" s="228"/>
      <x:c r="S28" s="228"/>
      <x:c r="T28" s="229"/>
    </x:row>
    <x:row r="29" ht="13.5" hidden="0" customHeight="1">
      <x:c r="A29" s="162"/>
      <x:c r="B29" s="163"/>
      <x:c r="C29" s="164"/>
      <x:c r="D29" s="165"/>
      <x:c r="E29" s="169"/>
      <x:c r="F29" s="228"/>
      <x:c r="G29" s="228"/>
      <x:c r="H29" s="228"/>
      <x:c r="I29" s="228"/>
      <x:c r="J29" s="228"/>
      <x:c r="K29" s="228"/>
      <x:c r="L29" s="228"/>
      <x:c r="M29" s="228"/>
      <x:c r="N29" s="228"/>
      <x:c r="O29" s="228"/>
      <x:c r="P29" s="228"/>
      <x:c r="Q29" s="228"/>
      <x:c r="R29" s="228"/>
      <x:c r="S29" s="228"/>
      <x:c r="T29" s="229"/>
    </x:row>
    <x:row r="30" ht="13.5" hidden="0" customHeight="1">
      <x:c r="A30" s="162"/>
      <x:c r="B30" s="163"/>
      <x:c r="C30" s="164"/>
      <x:c r="D30" s="165"/>
      <x:c r="E30" s="169"/>
      <x:c r="F30" s="228"/>
      <x:c r="G30" s="228"/>
      <x:c r="H30" s="228"/>
      <x:c r="I30" s="228"/>
      <x:c r="J30" s="228"/>
      <x:c r="K30" s="228"/>
      <x:c r="L30" s="228"/>
      <x:c r="M30" s="228"/>
      <x:c r="N30" s="228"/>
      <x:c r="O30" s="228"/>
      <x:c r="P30" s="228"/>
      <x:c r="Q30" s="228"/>
      <x:c r="R30" s="228"/>
      <x:c r="S30" s="228"/>
      <x:c r="T30" s="229"/>
    </x:row>
    <x:row r="31" ht="13.5" hidden="0" customHeight="1">
      <x:c r="A31" s="162"/>
      <x:c r="B31" s="163"/>
      <x:c r="C31" s="164"/>
      <x:c r="D31" s="165"/>
      <x:c r="E31" s="169"/>
      <x:c r="F31" s="228"/>
      <x:c r="G31" s="228"/>
      <x:c r="H31" s="228"/>
      <x:c r="I31" s="228"/>
      <x:c r="J31" s="228"/>
      <x:c r="K31" s="228"/>
      <x:c r="L31" s="228"/>
      <x:c r="M31" s="228"/>
      <x:c r="N31" s="228"/>
      <x:c r="O31" s="228"/>
      <x:c r="P31" s="228"/>
      <x:c r="Q31" s="228"/>
      <x:c r="R31" s="228"/>
      <x:c r="S31" s="228"/>
      <x:c r="T31" s="229"/>
    </x:row>
    <x:row r="32" ht="13.5" hidden="0" customHeight="1">
      <x:c r="A32" s="162"/>
      <x:c r="B32" s="172"/>
      <x:c r="C32" s="173"/>
      <x:c r="D32" s="174"/>
      <x:c r="E32" s="175"/>
      <x:c r="F32" s="231"/>
      <x:c r="G32" s="231"/>
      <x:c r="H32" s="231"/>
      <x:c r="I32" s="231"/>
      <x:c r="J32" s="231"/>
      <x:c r="K32" s="231"/>
      <x:c r="L32" s="231"/>
      <x:c r="M32" s="231"/>
      <x:c r="N32" s="231"/>
      <x:c r="O32" s="231"/>
      <x:c r="P32" s="231"/>
      <x:c r="Q32" s="231"/>
      <x:c r="R32" s="231"/>
      <x:c r="S32" s="231"/>
      <x:c r="T32" s="232"/>
    </x:row>
    <x:row r="33" ht="13.5" hidden="0" customHeight="1">
      <x:c r="A33" s="178" t="s">
        <x:v>106</x:v>
      </x:c>
      <x:c r="B33" s="179" t="s">
        <x:v>107</x:v>
      </x:c>
      <x:c r="C33" s="180"/>
      <x:c r="D33" s="181"/>
      <x:c r="E33" s="182"/>
      <x:c r="F33" s="233"/>
      <x:c r="G33" s="233"/>
      <x:c r="H33" s="233"/>
      <x:c r="I33" s="233"/>
      <x:c r="J33" s="233"/>
      <x:c r="K33" s="233"/>
      <x:c r="L33" s="233"/>
      <x:c r="M33" s="233"/>
      <x:c r="N33" s="233"/>
      <x:c r="O33" s="233"/>
      <x:c r="P33" s="233"/>
      <x:c r="Q33" s="233"/>
      <x:c r="R33" s="233"/>
      <x:c r="S33" s="233"/>
      <x:c r="T33" s="234"/>
    </x:row>
    <x:row r="34" ht="13.5" hidden="0" customHeight="1">
      <x:c r="A34" s="183"/>
      <x:c r="B34" s="336" t="s">
        <x:v>108</x:v>
      </x:c>
      <x:c r="C34" s="185"/>
      <x:c r="D34" s="186"/>
      <x:c r="E34" s="187"/>
      <x:c r="F34" s="228"/>
      <x:c r="G34" s="228"/>
      <x:c r="H34" s="228"/>
      <x:c r="I34" s="228"/>
      <x:c r="J34" s="228"/>
      <x:c r="K34" s="228"/>
      <x:c r="L34" s="228"/>
      <x:c r="M34" s="228"/>
      <x:c r="N34" s="228"/>
      <x:c r="O34" s="228"/>
      <x:c r="P34" s="228"/>
      <x:c r="Q34" s="228"/>
      <x:c r="R34" s="228"/>
      <x:c r="S34" s="228"/>
      <x:c r="T34" s="229"/>
    </x:row>
    <x:row r="35" ht="13.5" hidden="0" customHeight="1">
      <x:c r="A35" s="183"/>
      <x:c r="B35" s="336"/>
      <x:c r="C35" s="185"/>
      <x:c r="D35" s="186" t="s">
        <x:v>109</x:v>
      </x:c>
      <x:c r="E35" s="187"/>
      <x:c r="F35" s="228" t="s">
        <x:v>103</x:v>
      </x:c>
      <x:c r="G35" s="228"/>
      <x:c r="H35" s="228" t="s">
        <x:v>103</x:v>
      </x:c>
      <x:c r="I35" s="228"/>
      <x:c r="J35" s="228"/>
      <x:c r="K35" s="228" t="s">
        <x:v>103</x:v>
      </x:c>
      <x:c r="L35" s="228"/>
      <x:c r="M35" s="228"/>
      <x:c r="N35" s="228"/>
      <x:c r="O35" s="228"/>
      <x:c r="P35" s="228"/>
      <x:c r="Q35" s="228"/>
      <x:c r="R35" s="228"/>
      <x:c r="S35" s="228"/>
      <x:c r="T35" s="229"/>
    </x:row>
    <x:row r="36" ht="13.5" hidden="0" customHeight="1">
      <x:c r="A36" s="183"/>
      <x:c r="B36" s="336"/>
      <x:c r="C36" s="185"/>
      <x:c r="D36" s="186" t="s">
        <x:v>110</x:v>
      </x:c>
      <x:c r="E36" s="187"/>
      <x:c r="F36" s="228"/>
      <x:c r="G36" s="228" t="s">
        <x:v>103</x:v>
      </x:c>
      <x:c r="H36" s="228"/>
      <x:c r="I36" s="228"/>
      <x:c r="J36" s="228"/>
      <x:c r="K36" s="228"/>
      <x:c r="L36" s="228"/>
      <x:c r="M36" s="228"/>
      <x:c r="N36" s="228"/>
      <x:c r="O36" s="228"/>
      <x:c r="P36" s="228"/>
      <x:c r="Q36" s="228"/>
      <x:c r="R36" s="228"/>
      <x:c r="S36" s="228"/>
      <x:c r="T36" s="229"/>
    </x:row>
    <x:row r="37" ht="13.5" hidden="0" customHeight="1">
      <x:c r="A37" s="183"/>
      <x:c r="B37" s="336"/>
      <x:c r="C37" s="185"/>
      <x:c r="D37" s="186" t="s">
        <x:v>111</x:v>
      </x:c>
      <x:c r="E37" s="187"/>
      <x:c r="F37" s="228"/>
      <x:c r="G37" s="228"/>
      <x:c r="H37" s="228"/>
      <x:c r="I37" s="228" t="s">
        <x:v>103</x:v>
      </x:c>
      <x:c r="J37" s="228"/>
      <x:c r="K37" s="228"/>
      <x:c r="L37" s="228"/>
      <x:c r="M37" s="228"/>
      <x:c r="N37" s="228"/>
      <x:c r="O37" s="228"/>
      <x:c r="P37" s="228"/>
      <x:c r="Q37" s="228"/>
      <x:c r="R37" s="228"/>
      <x:c r="S37" s="228"/>
      <x:c r="T37" s="229"/>
    </x:row>
    <x:row r="38" ht="13.5" hidden="0" customHeight="1">
      <x:c r="A38" s="183"/>
      <x:c r="B38" s="336"/>
      <x:c r="C38" s="185"/>
      <x:c r="D38" s="186" t="s">
        <x:v>112</x:v>
      </x:c>
      <x:c r="E38" s="187"/>
      <x:c r="F38" s="228"/>
      <x:c r="G38" s="228"/>
      <x:c r="H38" s="228"/>
      <x:c r="I38" s="228"/>
      <x:c r="J38" s="228" t="s">
        <x:v>103</x:v>
      </x:c>
      <x:c r="K38" s="228"/>
      <x:c r="L38" s="228"/>
      <x:c r="M38" s="228"/>
      <x:c r="N38" s="228"/>
      <x:c r="O38" s="228"/>
      <x:c r="P38" s="228"/>
      <x:c r="Q38" s="228"/>
      <x:c r="R38" s="228"/>
      <x:c r="S38" s="228"/>
      <x:c r="T38" s="229"/>
    </x:row>
    <x:row r="39" ht="13.5" hidden="0" customHeight="1">
      <x:c r="A39" s="183"/>
      <x:c r="B39" s="184"/>
      <x:c r="C39" s="235"/>
      <x:c r="D39" s="186" t="s">
        <x:v>113</x:v>
      </x:c>
      <x:c r="E39" s="189"/>
      <x:c r="F39" s="228"/>
      <x:c r="G39" s="228"/>
      <x:c r="H39" s="228"/>
      <x:c r="I39" s="228"/>
      <x:c r="J39" s="228"/>
      <x:c r="K39" s="228"/>
      <x:c r="L39" s="228" t="s">
        <x:v>103</x:v>
      </x:c>
      <x:c r="M39" s="228"/>
      <x:c r="N39" s="228"/>
      <x:c r="O39" s="228"/>
      <x:c r="P39" s="228"/>
      <x:c r="Q39" s="228"/>
      <x:c r="R39" s="228"/>
      <x:c r="S39" s="228"/>
      <x:c r="T39" s="229"/>
    </x:row>
    <x:row r="40" ht="13.5" hidden="0" customHeight="1">
      <x:c r="A40" s="183"/>
      <x:c r="B40" s="184" t="s">
        <x:v>114</x:v>
      </x:c>
      <x:c r="C40" s="235"/>
      <x:c r="D40" s="186"/>
      <x:c r="E40" s="189"/>
      <x:c r="F40" s="228"/>
      <x:c r="G40" s="228"/>
      <x:c r="H40" s="228"/>
      <x:c r="I40" s="228"/>
      <x:c r="J40" s="228"/>
      <x:c r="K40" s="228"/>
      <x:c r="L40" s="228"/>
      <x:c r="M40" s="228"/>
      <x:c r="N40" s="228"/>
      <x:c r="O40" s="228"/>
      <x:c r="P40" s="228"/>
      <x:c r="Q40" s="228"/>
      <x:c r="R40" s="228"/>
      <x:c r="S40" s="228"/>
      <x:c r="T40" s="229"/>
    </x:row>
    <x:row r="41" ht="13.5" hidden="0" customHeight="1">
      <x:c r="A41" s="183"/>
      <x:c r="B41" s="184"/>
      <x:c r="C41" s="235"/>
      <x:c r="D41" s="186"/>
      <x:c r="E41" s="189"/>
      <x:c r="F41" s="228"/>
      <x:c r="G41" s="228"/>
      <x:c r="H41" s="228"/>
      <x:c r="I41" s="228"/>
      <x:c r="J41" s="228"/>
      <x:c r="K41" s="228"/>
      <x:c r="L41" s="228"/>
      <x:c r="M41" s="228"/>
      <x:c r="N41" s="228"/>
      <x:c r="O41" s="228"/>
      <x:c r="P41" s="228"/>
      <x:c r="Q41" s="228"/>
      <x:c r="R41" s="228"/>
      <x:c r="S41" s="228"/>
      <x:c r="T41" s="229"/>
    </x:row>
    <x:row r="42" ht="13.5" hidden="0" customHeight="1">
      <x:c r="A42" s="183"/>
      <x:c r="B42" s="184" t="s">
        <x:v>115</x:v>
      </x:c>
      <x:c r="C42" s="235"/>
      <x:c r="D42" s="186"/>
      <x:c r="E42" s="189"/>
      <x:c r="F42" s="228"/>
      <x:c r="G42" s="228"/>
      <x:c r="H42" s="228"/>
      <x:c r="I42" s="228"/>
      <x:c r="J42" s="228"/>
      <x:c r="K42" s="228"/>
      <x:c r="L42" s="228"/>
      <x:c r="M42" s="228"/>
      <x:c r="N42" s="228"/>
      <x:c r="O42" s="228"/>
      <x:c r="P42" s="228"/>
      <x:c r="Q42" s="228"/>
      <x:c r="R42" s="228"/>
      <x:c r="S42" s="228"/>
      <x:c r="T42" s="229"/>
    </x:row>
    <x:row r="43" ht="13.5" hidden="0" customHeight="1">
      <x:c r="A43" s="183"/>
      <x:c r="B43" s="184"/>
      <x:c r="C43" s="235"/>
      <x:c r="D43" s="186" t="s">
        <x:v>116</x:v>
      </x:c>
      <x:c r="E43" s="189"/>
      <x:c r="F43" s="228" t="s">
        <x:v>103</x:v>
      </x:c>
      <x:c r="G43" s="228"/>
      <x:c r="H43" s="228"/>
      <x:c r="I43" s="228"/>
      <x:c r="J43" s="228"/>
      <x:c r="K43" s="228"/>
      <x:c r="L43" s="228"/>
      <x:c r="M43" s="228"/>
      <x:c r="N43" s="228"/>
      <x:c r="O43" s="228"/>
      <x:c r="P43" s="228"/>
      <x:c r="Q43" s="228"/>
      <x:c r="R43" s="228"/>
      <x:c r="S43" s="228"/>
      <x:c r="T43" s="229"/>
    </x:row>
    <x:row r="44" ht="13.5" hidden="0" customHeight="1">
      <x:c r="A44" s="183"/>
      <x:c r="B44" s="190"/>
      <x:c r="C44" s="191"/>
      <x:c r="D44" s="192"/>
      <x:c r="E44" s="193"/>
      <x:c r="F44" s="236"/>
      <x:c r="G44" s="236"/>
      <x:c r="H44" s="236"/>
      <x:c r="I44" s="236"/>
      <x:c r="J44" s="236"/>
      <x:c r="K44" s="236"/>
      <x:c r="L44" s="236"/>
      <x:c r="M44" s="236"/>
      <x:c r="N44" s="236"/>
      <x:c r="O44" s="236"/>
      <x:c r="P44" s="236"/>
      <x:c r="Q44" s="236"/>
      <x:c r="R44" s="236"/>
      <x:c r="S44" s="236"/>
      <x:c r="T44" s="237"/>
    </x:row>
    <x:row r="45" ht="13.5" hidden="0" customHeight="1">
      <x:c r="A45" s="178" t="s">
        <x:v>117</x:v>
      </x:c>
      <x:c r="B45" s="196" t="s">
        <x:v>118</x:v>
      </x:c>
      <x:c r="C45" s="196"/>
      <x:c r="D45" s="196"/>
      <x:c r="E45" s="196"/>
      <x:c r="F45" s="238" t="s">
        <x:v>77</x:v>
      </x:c>
      <x:c r="G45" s="238" t="s">
        <x:v>76</x:v>
      </x:c>
      <x:c r="H45" s="238" t="s">
        <x:v>76</x:v>
      </x:c>
      <x:c r="I45" s="238" t="s">
        <x:v>76</x:v>
      </x:c>
      <x:c r="J45" s="238" t="s">
        <x:v>76</x:v>
      </x:c>
      <x:c r="K45" s="238" t="s">
        <x:v>76</x:v>
      </x:c>
      <x:c r="L45" s="238" t="s">
        <x:v>78</x:v>
      </x:c>
      <x:c r="M45" s="238"/>
      <x:c r="N45" s="238"/>
      <x:c r="O45" s="238"/>
      <x:c r="P45" s="238"/>
      <x:c r="Q45" s="238"/>
      <x:c r="R45" s="238"/>
      <x:c r="S45" s="238"/>
      <x:c r="T45" s="239"/>
    </x:row>
    <x:row r="46" ht="13.5" hidden="0" customHeight="1">
      <x:c r="A46" s="337"/>
      <x:c r="B46" s="199" t="s">
        <x:v>119</x:v>
      </x:c>
      <x:c r="C46" s="199"/>
      <x:c r="D46" s="199"/>
      <x:c r="E46" s="200"/>
      <x:c r="F46" s="240"/>
      <x:c r="G46" s="240"/>
      <x:c r="H46" s="240"/>
      <x:c r="I46" s="240"/>
      <x:c r="J46" s="240"/>
      <x:c r="K46" s="240"/>
      <x:c r="L46" s="240"/>
      <x:c r="M46" s="240"/>
      <x:c r="N46" s="240"/>
      <x:c r="O46" s="240"/>
      <x:c r="P46" s="240"/>
      <x:c r="Q46" s="240"/>
      <x:c r="R46" s="240"/>
      <x:c r="S46" s="240"/>
      <x:c r="T46" s="241"/>
    </x:row>
    <x:row r="47" ht="13.5" hidden="0" customHeight="1">
      <x:c r="A47" s="337"/>
      <x:c r="B47" s="203" t="s">
        <x:v>120</x:v>
      </x:c>
      <x:c r="C47" s="203"/>
      <x:c r="D47" s="203"/>
      <x:c r="E47" s="204"/>
      <x:c r="F47" s="205" t="n">
        <x:v>39139</x:v>
      </x:c>
      <x:c r="G47" s="205" t="n">
        <x:v>39139</x:v>
      </x:c>
      <x:c r="H47" s="205" t="n">
        <x:v>39139</x:v>
      </x:c>
      <x:c r="I47" s="205" t="n">
        <x:v>39139</x:v>
      </x:c>
      <x:c r="J47" s="205" t="n">
        <x:v>39139</x:v>
      </x:c>
      <x:c r="K47" s="205" t="n">
        <x:v>39139</x:v>
      </x:c>
      <x:c r="L47" s="205" t="n">
        <x:v>39144</x:v>
      </x:c>
      <x:c r="M47" s="205"/>
      <x:c r="N47" s="205"/>
      <x:c r="O47" s="205"/>
      <x:c r="P47" s="205"/>
      <x:c r="Q47" s="205"/>
      <x:c r="R47" s="205"/>
      <x:c r="S47" s="205"/>
      <x:c r="T47" s="206"/>
    </x:row>
    <x:row r="48" ht="11.25" hidden="0" customHeight="1">
      <x:c r="A48" s="338"/>
      <x:c r="B48" s="208" t="s">
        <x:v>121</x:v>
      </x:c>
      <x:c r="C48" s="208"/>
      <x:c r="D48" s="208"/>
      <x:c r="E48" s="209"/>
      <x:c r="F48" s="210"/>
      <x:c r="G48" s="210"/>
      <x:c r="H48" s="210"/>
      <x:c r="I48" s="210"/>
      <x:c r="J48" s="210"/>
      <x:c r="K48" s="210"/>
      <x:c r="L48" s="210"/>
      <x:c r="M48" s="210"/>
      <x:c r="N48" s="210"/>
      <x:c r="O48" s="210"/>
      <x:c r="P48" s="210"/>
      <x:c r="Q48" s="210"/>
      <x:c r="R48" s="210"/>
      <x:c r="S48" s="210"/>
      <x:c r="T48" s="211"/>
    </x:row>
    <x:row r="49" ht="11.25" hidden="0" customHeight="1">
      <x:c r="A49" s="118"/>
      <x:c r="B49" s="117"/>
      <x:c r="C49" s="119"/>
      <x:c r="D49" s="117"/>
    </x:row>
  </x:sheetData>
  <x:mergeCells>
    <x:mergeCell ref="A2:B2"/>
    <x:mergeCell ref="C2:E2"/>
    <x:mergeCell ref="F2:K2"/>
    <x:mergeCell ref="L2:T2"/>
    <x:mergeCell ref="A3:B3"/>
    <x:mergeCell ref="C3:E3"/>
    <x:mergeCell ref="F3:K3"/>
    <x:mergeCell ref="L3:N3"/>
    <x:mergeCell ref="A4:B4"/>
    <x:mergeCell ref="C4:D4"/>
    <x:mergeCell ref="F4:K4"/>
    <x:mergeCell ref="L4:T4"/>
    <x:mergeCell ref="A5:B5"/>
    <x:mergeCell ref="C5:T5"/>
    <x:mergeCell ref="A6:B6"/>
    <x:mergeCell ref="C6:E6"/>
    <x:mergeCell ref="F6:K6"/>
    <x:mergeCell ref="L6:N6"/>
    <x:mergeCell ref="O6:T6"/>
    <x:mergeCell ref="A7:B7"/>
    <x:mergeCell ref="C7:E7"/>
    <x:mergeCell ref="F7:K7"/>
    <x:mergeCell ref="O7:T7"/>
    <x:mergeCell ref="D20:E20"/>
    <x:mergeCell ref="B45:D45"/>
    <x:mergeCell ref="B46:D46"/>
    <x:mergeCell ref="B47:D47"/>
    <x:mergeCell ref="B48:D48"/>
  </x:mergeCells>
  <x:dataValidations count="3">
    <x:dataValidation type="list" errorStyle="stop" operator="between" allowBlank="1" showDropDown="0" showInputMessage="0" showErrorMessage="1" sqref="F46:T46">
      <x:formula1>"P,F,"</x:formula1>
      <x:formula2>0</x:formula2>
    </x:dataValidation>
    <x:dataValidation type="list" errorStyle="stop" operator="between" allowBlank="1" showDropDown="0" showInputMessage="0" showErrorMessage="1" sqref="F45:T45">
      <x:formula1>"N,A,B,"</x:formula1>
      <x:formula2>0</x:formula2>
    </x:dataValidation>
    <x:dataValidation type="list" errorStyle="stop" operator="between" allowBlank="1" showDropDown="0" showInputMessage="0" showErrorMessage="1" sqref="F10:T44">
      <x:formula1>"O,"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2c75a442999040a3"/>
</x:worksheet>
</file>